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FBC7473A2E119BFA/문서/"/>
    </mc:Choice>
  </mc:AlternateContent>
  <xr:revisionPtr revIDLastSave="9" documentId="8_{F726C95F-B00F-40EE-9C8F-D49F017FDD6A}" xr6:coauthVersionLast="47" xr6:coauthVersionMax="47" xr10:uidLastSave="{D6FAFE50-7B28-4D86-9031-479F31A8BD94}"/>
  <bookViews>
    <workbookView xWindow="-108" yWindow="-108" windowWidth="23256" windowHeight="12456" activeTab="3" xr2:uid="{21D18BB0-BC05-45A4-A27E-18126E4606D4}"/>
  </bookViews>
  <sheets>
    <sheet name="Customers" sheetId="3" r:id="rId1"/>
    <sheet name="Orders" sheetId="4" r:id="rId2"/>
    <sheet name="Products" sheetId="5" r:id="rId3"/>
    <sheet name="Dashboard" sheetId="9" r:id="rId4"/>
    <sheet name="Sheet4" sheetId="8" r:id="rId5"/>
  </sheets>
  <definedNames>
    <definedName name="ExternalData_2" localSheetId="0" hidden="1">'Customers'!$A$1:$G$101</definedName>
    <definedName name="ExternalData_3" localSheetId="1" hidden="1">Orders!$A$1:$Q$1001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0" r:id="rId6"/>
    <pivotCache cacheId="13" r:id="rId7"/>
    <pivotCache cacheId="16" r:id="rId8"/>
    <pivotCache cacheId="19" r:id="rId9"/>
    <pivotCache cacheId="22" r:id="rId10"/>
    <pivotCache cacheId="25" r:id="rId11"/>
    <pivotCache cacheId="28" r:id="rId12"/>
    <pivotCache cacheId="31" r:id="rId13"/>
    <pivotCache cacheId="34"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d7fbb5d5-98f2-4028-ad31-34ca4318300a" name="fnp datasets" connection="Query - fnp datasets"/>
          <x15:modelTable id="Customers_f1317f93-ea9b-4b9f-8833-e634f196ba8e" name="Customers" connection="Query - Customers"/>
          <x15:modelTable id="Orders_fcc7b87f-4b6d-4d3a-8ff5-119be3216d86" name="Orders" connection="Query - Orders"/>
          <x15:modelTable id="Products_74139c4b-3a2c-49f7-827d-872b5008ad85"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9"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48554C-01E9-4B46-A3F1-7A1A656F997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9A6A91CD-4113-4961-850A-4010437F4DE6}"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FDD87931-8600-4DBE-A403-6F1063ECCF5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23269542-F700-49BC-9CA9-E7D7F2929EB0}" name="Query - Customers" description="Connection to the 'Customers' query in the workbook." type="100" refreshedVersion="8" minRefreshableVersion="5">
    <extLst>
      <ext xmlns:x15="http://schemas.microsoft.com/office/spreadsheetml/2010/11/main" uri="{DE250136-89BD-433C-8126-D09CA5730AF9}">
        <x15:connection id="8ce8b817-d218-4192-9472-97ee8f7d716a"/>
      </ext>
    </extLst>
  </connection>
  <connection id="5" xr16:uid="{75AA89F0-6E43-40F7-B6BF-E90655B4F734}" name="Query - fnp datasets" description="Connection to the 'fnp datasets' query in the workbook." type="100" refreshedVersion="8" minRefreshableVersion="5">
    <extLst>
      <ext xmlns:x15="http://schemas.microsoft.com/office/spreadsheetml/2010/11/main" uri="{DE250136-89BD-433C-8126-D09CA5730AF9}">
        <x15:connection id="5be78dfe-b765-46d2-bfaf-fb287ac0374d"/>
      </ext>
    </extLst>
  </connection>
  <connection id="6" xr16:uid="{80DB0D27-730C-46EB-BC18-B9B8BBC751D9}" name="Query - Orders" description="Connection to the 'Orders' query in the workbook." type="100" refreshedVersion="8" minRefreshableVersion="5">
    <extLst>
      <ext xmlns:x15="http://schemas.microsoft.com/office/spreadsheetml/2010/11/main" uri="{DE250136-89BD-433C-8126-D09CA5730AF9}">
        <x15:connection id="0dc1eb12-21ce-4beb-907b-0ea3911e5086"/>
      </ext>
    </extLst>
  </connection>
  <connection id="7" xr16:uid="{4520D016-013F-401E-A1A7-40F648B015B2}" name="Query - Products" description="Connection to the 'Products' query in the workbook." type="100" refreshedVersion="8" minRefreshableVersion="5">
    <extLst>
      <ext xmlns:x15="http://schemas.microsoft.com/office/spreadsheetml/2010/11/main" uri="{DE250136-89BD-433C-8126-D09CA5730AF9}">
        <x15:connection id="e711e410-45ba-4c4f-8a98-9809ecc74645"/>
      </ext>
    </extLst>
  </connection>
  <connection id="8" xr16:uid="{5AB88F76-41C7-43D1-B83A-5534B25F85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<sst xmlns="http://schemas.openxmlformats.org/spreadsheetml/2006/main" count="6074" uniqueCount="1008">
  <si>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</si>
  <si>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</si>
  <si>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</si>
  <si>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</si>
  <si>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</si>
  <si>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</si>
  <si>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</si>
  <si>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</si>
  <si>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</si>
  <si>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</si>
  <si>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</si>
  <si>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</si>
  <si>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</si>
  <si>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</si>
  <si>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</si>
  <si>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</si>
  <si>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</si>
  <si>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</si>
  <si>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</si>
  <si>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</si>
  <si>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</si>
  <si>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</si>
  <si>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</si>
  <si>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</si>
  <si>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</si>
  <si>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</si>
  <si>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</si>
  <si>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</si>
  <si>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</si>
  <si>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</si>
  <si>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</si>
  <si>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</si>
  <si>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</si>
  <si>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</si>
  <si>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</si>
  <si>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</si>
  <si>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</si>
  <si>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</si>
  <si>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</si>
  <si>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</si>
  <si>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</si>
  <si>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</si>
  <si>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</si>
  <si>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</si>
  <si>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</si>
  <si>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</si>
  <si>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</si>
  <si>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</si>
  <si>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</si>
  <si>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</si>
  <si>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</si>
  <si>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</si>
  <si>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</si>
  <si>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</si>
  <si>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</si>
  <si>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</si>
  <si>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</si>
  <si>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</si>
  <si>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</si>
  <si>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</si>
  <si>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</si>
  <si>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</si>
  <si>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</si>
  <si>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</si>
  <si>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</si>
  <si>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</si>
  <si>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</si>
  <si>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</si>
  <si>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</si>
  <si>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</si>
  <si>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</si>
  <si>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</si>
  <si>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</si>
  <si>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</si>
  <si>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</si>
  <si>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</si>
  <si>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</si>
  <si>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</si>
  <si>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</si>
  <si>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</si>
  <si>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</si>
  <si>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</si>
  <si>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</si>
  <si>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</si>
  <si>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</si>
  <si>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</si>
  <si>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</si>
  <si>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</si>
  <si>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</si>
  <si>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</si>
  <si>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</si>
  <si>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</si>
  <si>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</si>
  <si>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</si>
  <si>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</si>
  <si>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</si>
  <si>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</si>
  <si>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</si>
  <si>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</si>
  <si>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</si>
  <si>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</si>
  <si>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</si>
  <si>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</si>
  <si>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</si>
  <si>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</si>
  <si>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</si>
  <si>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</si>
  <si>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</si>
  <si>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</si>
  <si>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</si>
  <si>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</si>
  <si>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</si>
  <si>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</si>
  <si>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</si>
  <si>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</si>
  <si>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</si>
  <si>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</si>
  <si>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</si>
  <si>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</si>
  <si>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</si>
  <si>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</si>
  <si>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</si>
  <si>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</si>
  <si>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</si>
  <si>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</si>
  <si>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</si>
  <si>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</si>
  <si>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</si>
  <si>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</si>
  <si>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</si>
  <si>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</si>
  <si>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</si>
  <si>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</si>
  <si>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</si>
  <si>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</si>
  <si>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</si>
  <si>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</si>
  <si>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</si>
  <si>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</si>
  <si>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</si>
  <si>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</si>
  <si>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</si>
  <si>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</si>
  <si>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</si>
  <si>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</si>
  <si>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</si>
  <si>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</si>
  <si>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</si>
  <si>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</si>
  <si>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</si>
  <si>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</si>
  <si>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</si>
  <si>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</si>
  <si>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</si>
  <si>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</si>
  <si>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</si>
  <si>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</si>
  <si>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</si>
  <si>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</si>
  <si>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</si>
  <si>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</si>
  <si>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</si>
  <si>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</si>
  <si>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</si>
  <si>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</si>
  <si>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</si>
  <si>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</si>
  <si>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</si>
  <si>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</si>
  <si>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</si>
  <si>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</si>
  <si>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</si>
  <si>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</si>
  <si>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</si>
  <si>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</si>
  <si>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</si>
  <si>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</si>
  <si>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</si>
  <si>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</si>
  <si>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</si>
  <si>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</si>
  <si>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</si>
  <si>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</si>
  <si>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</si>
  <si>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</si>
  <si>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</si>
  <si>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</si>
  <si>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</si>
  <si>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</si>
  <si>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</si>
  <si>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</si>
  <si>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</si>
  <si>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</si>
  <si>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</si>
  <si>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</si>
  <si>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</si>
  <si>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</si>
  <si>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</si>
  <si>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</si>
  <si>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</si>
  <si>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</si>
  <si>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</si>
  <si>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</si>
  <si>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</si>
  <si>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</si>
  <si>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</si>
  <si>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</si>
  <si>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</si>
  <si>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</si>
  <si>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</si>
  <si>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</si>
  <si>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</si>
  <si>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</si>
  <si>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</si>
  <si>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</si>
  <si>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</si>
  <si>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</si>
  <si>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</si>
  <si>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</si>
  <si>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</si>
  <si>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</si>
  <si>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</si>
  <si>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</si>
  <si>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</si>
  <si>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</si>
  <si>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</si>
  <si>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</si>
  <si>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</si>
  <si>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</si>
  <si>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</si>
  <si>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</si>
  <si>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</si>
  <si>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</si>
  <si>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</si>
  <si>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</si>
  <si>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</si>
  <si>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</si>
  <si>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</si>
  <si>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</si>
  <si>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</si>
  <si>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</si>
  <si>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</si>
  <si>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</si>
  <si>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</si>
  <si>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</si>
  <si>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</si>
  <si>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</si>
  <si>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</si>
  <si>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</si>
  <si>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</si>
  <si>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</si>
  <si>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</si>
  <si>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</si>
  <si>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</si>
  <si>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</si>
  <si>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</si>
  <si>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</si>
  <si>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</si>
  <si>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</si>
  <si>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</si>
  <si>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</si>
  <si>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</si>
  <si>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</si>
  <si>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</si>
  <si>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</si>
  <si>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</si>
  <si>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</si>
  <si>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</si>
  <si>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</si>
  <si>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</si>
  <si>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</si>
  <si>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</si>
  <si>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</si>
  <si>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</si>
  <si>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</si>
  <si>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</si>
  <si>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</si>
  <si>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</si>
  <si>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</si>
  <si>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</si>
  <si>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</si>
  <si>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</si>
  <si>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</si>
  <si>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</si>
  <si>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</si>
  <si>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</si>
  <si>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</si>
  <si>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</si>
  <si>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</si>
  <si>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</si>
  <si>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</si>
  <si>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</si>
  <si>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</si>
  <si>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</si>
  <si>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</si>
  <si>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</si>
  <si>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</si>
  <si>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</si>
  <si>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</si>
  <si>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</si>
  <si>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</si>
  <si>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</si>
  <si>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</si>
  <si>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</si>
  <si>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</si>
  <si>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</si>
  <si>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</si>
  <si>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</si>
  <si>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</si>
  <si>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</si>
  <si>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</si>
  <si>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</si>
  <si>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</si>
  <si>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</si>
  <si>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</si>
  <si>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</si>
  <si>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</si>
  <si>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</si>
  <si>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</si>
  <si>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</si>
  <si>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</si>
  <si>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</si>
  <si>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</si>
  <si>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</si>
  <si>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</si>
  <si>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</si>
  <si>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</si>
  <si>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</si>
  <si>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</si>
  <si>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</si>
  <si>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</si>
  <si>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</si>
  <si>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</si>
  <si>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</si>
  <si>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</si>
  <si>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</si>
  <si>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</si>
  <si>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</si>
  <si>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</si>
  <si>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</si>
  <si>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</si>
  <si>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</si>
  <si>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</si>
  <si>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</si>
  <si>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</si>
  <si>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</si>
  <si>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</si>
  <si>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</si>
  <si>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</si>
  <si>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</si>
  <si>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</si>
  <si>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</si>
  <si>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</si>
  <si>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</si>
  <si>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</si>
  <si>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</si>
  <si>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</si>
  <si>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</si>
  <si>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</si>
  <si>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</si>
  <si>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</si>
  <si>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</si>
  <si>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</si>
  <si>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</si>
  <si>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</si>
  <si>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</si>
  <si>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</si>
  <si>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</si>
  <si>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</si>
  <si>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</si>
  <si>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</si>
  <si>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</si>
  <si>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</si>
  <si>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</si>
  <si>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</si>
  <si>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</si>
  <si>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</si>
  <si>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</si>
  <si>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</si>
  <si>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</si>
  <si>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</si>
  <si>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</si>
  <si>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</si>
  <si>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</si>
  <si>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</si>
  <si>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</si>
  <si>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</si>
  <si>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</si>
  <si>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</si>
  <si>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</si>
  <si>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</si>
  <si>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</si>
  <si>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</si>
  <si>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</si>
  <si>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</si>
  <si>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</si>
  <si>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</si>
  <si>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</si>
  <si>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</si>
  <si>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</si>
  <si>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</si>
  <si>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</si>
  <si>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</si>
  <si>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</si>
  <si>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</si>
  <si>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</si>
  <si>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</si>
  <si>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</si>
  <si>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</si>
  <si>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</si>
  <si>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</si>
  <si>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</si>
  <si>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</si>
  <si>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</si>
  <si>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</si>
  <si>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</si>
  <si>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</si>
  <si>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</si>
  <si>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</si>
  <si>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</si>
  <si>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</si>
  <si>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</si>
  <si>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</si>
  <si>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</si>
  <si>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</si>
  <si>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</si>
  <si>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</si>
  <si>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</si>
  <si>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</si>
  <si>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</si>
  <si>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</si>
  <si>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</si>
  <si>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</si>
  <si>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</si>
  <si>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</si>
  <si>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</si>
  <si>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</si>
  <si>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</si>
  <si>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</si>
  <si>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</si>
  <si>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</si>
  <si>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</si>
  <si>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</si>
  <si>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</si>
  <si>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</si>
  <si>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</si>
  <si>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</si>
  <si>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</si>
  <si>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</si>
  <si>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</si>
  <si>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</si>
  <si>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</si>
  <si>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</si>
  <si>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</si>
  <si>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</si>
  <si>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</si>
  <si>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</si>
  <si>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</si>
  <si>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</si>
  <si>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</si>
  <si>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</si>
  <si>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</si>
  <si>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</si>
  <si>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</si>
  <si>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</si>
  <si>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</si>
  <si>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</si>
  <si>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</si>
  <si>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</si>
  <si>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</si>
  <si>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</si>
  <si>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</si>
  <si>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</si>
  <si>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</si>
  <si>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</si>
  <si>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</si>
  <si>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</si>
  <si>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</si>
  <si>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</si>
  <si>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</si>
  <si>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</si>
  <si>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</si>
  <si>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</si>
  <si>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</si>
  <si>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</si>
  <si>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</si>
  <si>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</si>
  <si>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</si>
  <si>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</si>
  <si>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</si>
  <si>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</si>
  <si>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</si>
  <si>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</si>
  <si>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</si>
  <si>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</si>
  <si>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</si>
  <si>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</si>
  <si>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</si>
  <si>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</si>
  <si>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</si>
  <si>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</si>
  <si>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</si>
  <si>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</si>
  <si>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</si>
  <si>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</si>
  <si>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</si>
  <si>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</si>
  <si>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</si>
  <si>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</si>
  <si>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</si>
  <si>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</si>
  <si>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</si>
  <si>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</si>
  <si>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</si>
  <si>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</si>
  <si>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</si>
  <si>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</si>
  <si>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</si>
  <si>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</si>
  <si>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</si>
  <si>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</si>
  <si>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</si>
  <si>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</si>
  <si>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</si>
  <si>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</si>
  <si>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</si>
  <si>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</si>
  <si>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</si>
  <si>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</si>
  <si>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</si>
  <si>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</si>
  <si>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</si>
  <si>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</si>
  <si>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</si>
  <si>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</si>
  <si>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</si>
  <si>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</si>
  <si>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</si>
  <si>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</si>
  <si>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</si>
  <si>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</si>
  <si>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</si>
  <si>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</si>
  <si>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</si>
  <si>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</si>
  <si>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</si>
  <si>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</si>
  <si>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</si>
  <si>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</si>
  <si>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</si>
  <si>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</si>
  <si>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</si>
  <si>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</si>
  <si>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</si>
  <si>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</si>
  <si>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</si>
  <si>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</si>
  <si>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</si>
  <si>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</si>
  <si>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</si>
  <si>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</si>
  <si>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</si>
  <si>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</si>
  <si>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</si>
  <si>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</si>
  <si>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</si>
  <si>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</si>
  <si>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</si>
  <si>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</si>
  <si>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</si>
  <si>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</si>
  <si>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</si>
  <si>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</si>
  <si>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</si>
  <si>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</si>
  <si>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</si>
  <si>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</si>
  <si>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</si>
  <si>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</si>
  <si>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</si>
  <si>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</si>
  <si>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</si>
  <si>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</si>
  <si>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</si>
  <si>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</si>
  <si>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</si>
  <si>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</si>
  <si>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</si>
  <si>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</si>
  <si>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</si>
  <si>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</si>
  <si>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</si>
  <si>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</si>
  <si>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</si>
  <si>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</si>
  <si>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</si>
  <si>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</si>
  <si>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</si>
  <si>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</si>
  <si>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</si>
  <si>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</si>
  <si>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</si>
  <si>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</si>
  <si>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</si>
  <si>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</si>
  <si>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</si>
  <si>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</si>
  <si>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</si>
  <si>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</si>
  <si>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</si>
  <si>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</si>
  <si>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</si>
  <si>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</si>
  <si>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</si>
  <si>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</si>
  <si>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</si>
  <si>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</si>
  <si>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</si>
  <si>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</si>
  <si>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</si>
  <si>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</si>
  <si>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</si>
  <si>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</si>
  <si>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</si>
  <si>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</si>
  <si>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</si>
  <si>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</si>
  <si>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</si>
  <si>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</si>
  <si>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</si>
  <si>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</si>
  <si>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</si>
  <si>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</si>
  <si>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</si>
  <si>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</si>
  <si>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</si>
  <si>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</si>
  <si>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</si>
  <si>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</si>
  <si>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</si>
  <si>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</si>
  <si>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</si>
  <si>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</si>
  <si>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</si>
  <si>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</si>
  <si>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</si>
  <si>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</si>
  <si>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</si>
  <si>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</si>
  <si>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</si>
  <si>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</si>
  <si>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</si>
  <si>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</si>
  <si>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</si>
  <si>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</si>
  <si>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</si>
  <si>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</si>
  <si>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</si>
  <si>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</si>
  <si>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</si>
  <si>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</si>
  <si>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</si>
  <si>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</si>
  <si>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</si>
  <si>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</si>
  <si>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</si>
  <si>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</si>
  <si>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</si>
  <si>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</si>
  <si>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</si>
  <si>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</si>
  <si>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</si>
  <si>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</si>
  <si>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</si>
  <si>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</si>
  <si>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</si>
  <si>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</si>
  <si>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</si>
  <si>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</si>
  <si>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</si>
  <si>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</si>
  <si>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</si>
  <si>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</si>
  <si>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</si>
  <si>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</si>
  <si>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</si>
  <si>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</si>
  <si>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</si>
  <si>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</si>
  <si>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</si>
  <si>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</si>
  <si>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</si>
  <si>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</si>
  <si>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</si>
  <si>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</si>
  <si>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</si>
  <si>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</si>
  <si>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</si>
  <si>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</si>
  <si>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</si>
  <si>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</si>
  <si>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</si>
  <si>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</si>
  <si>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</si>
  <si>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</si>
  <si>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</si>
  <si>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</si>
  <si>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</si>
  <si>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</si>
  <si>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</si>
  <si>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</si>
  <si>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</si>
  <si>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</si>
  <si>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</si>
  <si>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</si>
  <si>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</si>
  <si>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</si>
  <si>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</si>
  <si>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</si>
  <si>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</si>
  <si>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</si>
  <si>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</si>
  <si>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</si>
  <si>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</si>
  <si>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</si>
  <si>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</si>
  <si>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</si>
  <si>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</si>
  <si>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</si>
  <si>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</si>
  <si>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</si>
  <si>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</si>
  <si>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</si>
  <si>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</si>
  <si>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</si>
  <si>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</si>
  <si>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</si>
  <si>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</si>
  <si>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</si>
  <si>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</si>
  <si>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</si>
  <si>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</si>
  <si>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</si>
  <si>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</si>
  <si>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</si>
  <si>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</si>
  <si>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</si>
  <si>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</si>
  <si>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</si>
  <si>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</si>
  <si>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</si>
  <si>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</si>
  <si>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</si>
  <si>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</si>
  <si>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</si>
  <si>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</si>
  <si>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</si>
  <si>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</si>
  <si>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</si>
  <si>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</si>
  <si>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</si>
  <si>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</si>
  <si>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</si>
  <si>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</si>
  <si>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</si>
  <si>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</si>
  <si>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</si>
  <si>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</si>
  <si>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</si>
  <si>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</si>
  <si>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</si>
  <si>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</si>
  <si>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</si>
  <si>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</si>
  <si>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</si>
  <si>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</si>
  <si>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</si>
  <si>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</si>
  <si>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</si>
  <si>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</si>
  <si>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</si>
  <si>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</si>
  <si>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</si>
  <si>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</si>
  <si>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</si>
  <si>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</si>
  <si>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</si>
  <si>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</si>
  <si>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</si>
  <si>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</si>
  <si>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</si>
  <si>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</si>
  <si>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</si>
  <si>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</si>
  <si>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</si>
  <si>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</si>
  <si>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</si>
  <si>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</si>
  <si>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</si>
  <si>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</si>
  <si>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</si>
  <si>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</si>
  <si>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</si>
  <si>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</si>
  <si>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</si>
  <si>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</si>
  <si>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</si>
  <si>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</si>
  <si>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</si>
  <si>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</si>
  <si>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</si>
  <si>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</si>
  <si>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</si>
  <si>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</si>
  <si>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</si>
  <si>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</si>
  <si>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</si>
  <si>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</si>
  <si>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</si>
  <si>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</si>
  <si>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</si>
  <si>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</si>
  <si>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</si>
  <si>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</si>
  <si>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</si>
  <si>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</si>
  <si>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</si>
  <si>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</si>
  <si>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</si>
  <si>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</si>
  <si>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</si>
  <si>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</si>
  <si>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</si>
  <si>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</si>
  <si>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</si>
  <si>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</si>
  <si>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</si>
  <si>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</si>
  <si>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</si>
  <si>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</si>
  <si>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</si>
  <si>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</si>
  <si>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</si>
  <si>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</si>
  <si>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</si>
  <si>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</si>
  <si>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</si>
  <si>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</si>
  <si>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</si>
  <si>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</si>
  <si>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</si>
  <si>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</si>
  <si>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</si>
  <si>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</si>
  <si>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</si>
  <si>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</si>
  <si>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</si>
  <si>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</si>
  <si>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</si>
  <si>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</si>
  <si>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</si>
  <si>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</si>
  <si>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</si>
  <si>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</si>
  <si>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</si>
  <si>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</si>
  <si>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</si>
  <si>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</si>
  <si>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</si>
  <si>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</si>
  <si>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</si>
  <si>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</si>
  <si>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</si>
  <si>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</si>
  <si>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</si>
  <si>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</si>
  <si>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</si>
  <si>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</si>
  <si>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</si>
  <si>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</si>
  <si>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</si>
  <si>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</si>
  <si>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</si>
  <si>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</si>
  <si>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</si>
  <si>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</si>
  <si>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</si>
  <si>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</si>
  <si>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</si>
  <si>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</si>
  <si>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</si>
  <si>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</si>
  <si>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</si>
  <si>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</si>
  <si>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</si>
  <si>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</si>
  <si>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</si>
  <si>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</si>
  <si>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</si>
  <si>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</si>
  <si>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</si>
  <si>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</si>
  <si>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</si>
  <si>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</si>
  <si>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</si>
  <si>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</si>
  <si>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</si>
  <si>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</si>
  <si>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</si>
  <si>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</si>
  <si>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</si>
  <si>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</si>
  <si>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</si>
  <si>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</si>
  <si>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</si>
  <si>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</si>
  <si>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</si>
  <si>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</si>
  <si>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</si>
  <si>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</si>
  <si>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</si>
  <si>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</si>
  <si>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</si>
  <si>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</si>
  <si>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</si>
  <si>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</si>
  <si>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</si>
  <si>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</si>
  <si>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</si>
  <si>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</si>
  <si>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</si>
  <si>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</si>
  <si>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</si>
  <si>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</si>
  <si>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</si>
  <si>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</si>
  <si>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</si>
  <si>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</si>
  <si>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</si>
  <si>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</si>
  <si>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</si>
  <si>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</si>
  <si>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</si>
  <si>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</si>
  <si>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</si>
  <si>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</si>
  <si>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</si>
  <si>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</si>
  <si>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</si>
  <si>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</si>
  <si>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</si>
  <si>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</si>
  <si>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</si>
  <si>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</si>
  <si>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</si>
  <si>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</si>
  <si>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</si>
  <si>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</si>
  <si>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</si>
  <si>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</si>
  <si>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</si>
  <si>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</si>
  <si>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</si>
  <si>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</si>
  <si>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</si>
  <si>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</si>
  <si>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</si>
  <si>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</si>
  <si>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</si>
  <si>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</si>
  <si>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</si>
  <si>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</si>
  <si>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</si>
  <si>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</si>
  <si>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</si>
  <si>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</si>
  <si>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</si>
  <si>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</si>
  <si>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</si>
  <si>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</si>
  <si>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</si>
  <si>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</si>
  <si>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</si>
  <si>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</si>
  <si>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</si>
  <si>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</si>
  <si>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</si>
  <si>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</si>
  <si>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</si>
  <si>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</si>
  <si>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</si>
  <si>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</si>
  <si>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</si>
  <si>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</si>
  <si>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</si>
  <si>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</si>
  <si>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Name(order Date)</t>
  </si>
  <si>
    <t>Saturday</t>
  </si>
  <si>
    <t>Wednesday</t>
  </si>
  <si>
    <t>Friday</t>
  </si>
  <si>
    <t>Sunday</t>
  </si>
  <si>
    <t>Monday</t>
  </si>
  <si>
    <t>Tuesday</t>
  </si>
  <si>
    <t>Thursday</t>
  </si>
  <si>
    <t>Sum of Revenue</t>
  </si>
  <si>
    <t>Average of diff_order_delivery</t>
  </si>
  <si>
    <t>Count of Order_ID</t>
  </si>
  <si>
    <t>Average of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</si>
</sst>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3" x14ac:knownFonts="1">
    <font>
      <sz val="11"/>
      <color theme="1"/>
      <name val="Calibri"/>
      <family val="2"/>
      <scheme val="minor"/>
    </font>
    <font>
      <b/>
      <sz val="11"/>
      <color theme="1"/>
      <name val="Calibri"/>
      <family val="2"/>
      <scheme val="minor"/>
    </font>
    <font>
      <sz val="24"/>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5"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65" fontId="0" fillId="0" borderId="0" xfId="0" applyNumberFormat="1"/>
    <xf numFmtId="0" fontId="2" fillId="3" borderId="0" xfId="0" applyFont="1" applyFill="1"/>
    <xf numFmtId="0" fontId="0" fillId="3" borderId="0" xfId="0" applyFill="1"/>
    <xf numFmtId="166" fontId="0" fillId="0" borderId="0" xfId="0" applyNumberFormat="1"/>
    <xf numFmtId="0"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 (1).xlsx]Sheet4!PivotTable14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Sheet4!$E$15</c:f>
              <c:strCache>
                <c:ptCount val="1"/>
                <c:pt idx="0">
                  <c:v>Total</c:v>
                </c:pt>
              </c:strCache>
            </c:strRef>
          </c:tx>
          <c:spPr>
            <a:solidFill>
              <a:schemeClr val="accent1"/>
            </a:solidFill>
            <a:ln>
              <a:noFill/>
            </a:ln>
            <a:effectLst/>
          </c:spPr>
          <c:invertIfNegative val="0"/>
          <c:cat>
            <c:strRef>
              <c:f>Sheet4!$D$16:$D$23</c:f>
              <c:strCache>
                <c:ptCount val="7"/>
                <c:pt idx="0">
                  <c:v>Diwali</c:v>
                </c:pt>
                <c:pt idx="1">
                  <c:v>Valentine's Day</c:v>
                </c:pt>
                <c:pt idx="2">
                  <c:v>Birthday</c:v>
                </c:pt>
                <c:pt idx="3">
                  <c:v>Holi</c:v>
                </c:pt>
                <c:pt idx="4">
                  <c:v>All Occasions</c:v>
                </c:pt>
                <c:pt idx="5">
                  <c:v>Raksha Bandhan</c:v>
                </c:pt>
                <c:pt idx="6">
                  <c:v>Anniversary</c:v>
                </c:pt>
              </c:strCache>
            </c:strRef>
          </c:cat>
          <c:val>
            <c:numRef>
              <c:f>Sheet4!$E$16:$E$23</c:f>
              <c:numCache>
                <c:formatCode>"₹"\ #,##0.00;#,##0.00\ \-"₹";"₹"\ #,##0.00</c:formatCode>
                <c:ptCount val="7"/>
                <c:pt idx="0">
                  <c:v>313783</c:v>
                </c:pt>
                <c:pt idx="1">
                  <c:v>331930</c:v>
                </c:pt>
                <c:pt idx="2">
                  <c:v>408194</c:v>
                </c:pt>
                <c:pt idx="3">
                  <c:v>574682</c:v>
                </c:pt>
                <c:pt idx="4">
                  <c:v>586176</c:v>
                </c:pt>
                <c:pt idx="5">
                  <c:v>631585</c:v>
                </c:pt>
                <c:pt idx="6">
                  <c:v>674634</c:v>
                </c:pt>
              </c:numCache>
            </c:numRef>
          </c:val>
          <c:extLst>
            <c:ext xmlns:c16="http://schemas.microsoft.com/office/drawing/2014/chart" uri="{C3380CC4-5D6E-409C-BE32-E72D297353CC}">
              <c16:uniqueId val="{00000001-8EA3-4065-BC6E-B9D4E49F305D}"/>
            </c:ext>
          </c:extLst>
        </c:ser>
        <c:dLbls>
          <c:showLegendKey val="0"/>
          <c:showVal val="0"/>
          <c:showCatName val="0"/>
          <c:showSerName val="0"/>
          <c:showPercent val="0"/>
          <c:showBubbleSize val="0"/>
        </c:dLbls>
        <c:gapWidth val="219"/>
        <c:overlap val="-27"/>
        <c:axId val="1335059232"/>
        <c:axId val="1153858064"/>
      </c:barChart>
      <c:catAx>
        <c:axId val="133505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858064"/>
        <c:crosses val="autoZero"/>
        <c:auto val="1"/>
        <c:lblAlgn val="ctr"/>
        <c:lblOffset val="100"/>
        <c:noMultiLvlLbl val="0"/>
      </c:catAx>
      <c:valAx>
        <c:axId val="1153858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5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 (1).xlsx]Sheet4!PivotTable13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Sheet4!$E$4</c:f>
              <c:strCache>
                <c:ptCount val="1"/>
                <c:pt idx="0">
                  <c:v>Total</c:v>
                </c:pt>
              </c:strCache>
            </c:strRef>
          </c:tx>
          <c:spPr>
            <a:solidFill>
              <a:schemeClr val="accent1"/>
            </a:solidFill>
            <a:ln>
              <a:noFill/>
            </a:ln>
            <a:effectLst/>
          </c:spPr>
          <c:invertIfNegative val="0"/>
          <c:cat>
            <c:strRef>
              <c:f>Sheet4!$D$5:$D$12</c:f>
              <c:strCache>
                <c:ptCount val="7"/>
                <c:pt idx="0">
                  <c:v>Mugs</c:v>
                </c:pt>
                <c:pt idx="1">
                  <c:v>Plants</c:v>
                </c:pt>
                <c:pt idx="2">
                  <c:v>Raksha Bandhan</c:v>
                </c:pt>
                <c:pt idx="3">
                  <c:v>Cake</c:v>
                </c:pt>
                <c:pt idx="4">
                  <c:v>Sweets</c:v>
                </c:pt>
                <c:pt idx="5">
                  <c:v>Soft Toys</c:v>
                </c:pt>
                <c:pt idx="6">
                  <c:v>Colors</c:v>
                </c:pt>
              </c:strCache>
            </c:strRef>
          </c:cat>
          <c:val>
            <c:numRef>
              <c:f>Sheet4!$E$5:$E$12</c:f>
              <c:numCache>
                <c:formatCode>"₹"\ #,##0.00;#,##0.00\ \-"₹";"₹"\ #,##0.00</c:formatCode>
                <c:ptCount val="7"/>
                <c:pt idx="0">
                  <c:v>201151</c:v>
                </c:pt>
                <c:pt idx="1">
                  <c:v>212281</c:v>
                </c:pt>
                <c:pt idx="2">
                  <c:v>297372</c:v>
                </c:pt>
                <c:pt idx="3">
                  <c:v>329862</c:v>
                </c:pt>
                <c:pt idx="4">
                  <c:v>733842</c:v>
                </c:pt>
                <c:pt idx="5">
                  <c:v>740831</c:v>
                </c:pt>
                <c:pt idx="6">
                  <c:v>1005645</c:v>
                </c:pt>
              </c:numCache>
            </c:numRef>
          </c:val>
          <c:extLst>
            <c:ext xmlns:c16="http://schemas.microsoft.com/office/drawing/2014/chart" uri="{C3380CC4-5D6E-409C-BE32-E72D297353CC}">
              <c16:uniqueId val="{00000005-3A6D-40A2-AC70-B87FC497515F}"/>
            </c:ext>
          </c:extLst>
        </c:ser>
        <c:dLbls>
          <c:showLegendKey val="0"/>
          <c:showVal val="0"/>
          <c:showCatName val="0"/>
          <c:showSerName val="0"/>
          <c:showPercent val="0"/>
          <c:showBubbleSize val="0"/>
        </c:dLbls>
        <c:gapWidth val="219"/>
        <c:overlap val="-27"/>
        <c:axId val="1274955504"/>
        <c:axId val="1153917104"/>
      </c:barChart>
      <c:catAx>
        <c:axId val="127495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917104"/>
        <c:crosses val="autoZero"/>
        <c:auto val="1"/>
        <c:lblAlgn val="ctr"/>
        <c:lblOffset val="100"/>
        <c:noMultiLvlLbl val="0"/>
      </c:catAx>
      <c:valAx>
        <c:axId val="1153917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95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 (1).xlsx]Sheet4!PivotTable8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c:f>
              <c:strCache>
                <c:ptCount val="1"/>
                <c:pt idx="0">
                  <c:v>Total</c:v>
                </c:pt>
              </c:strCache>
            </c:strRef>
          </c:tx>
          <c:spPr>
            <a:ln w="28575" cap="rnd">
              <a:solidFill>
                <a:schemeClr val="accent1"/>
              </a:solidFill>
              <a:round/>
            </a:ln>
            <a:effectLst/>
          </c:spPr>
          <c:marker>
            <c:symbol val="none"/>
          </c:marker>
          <c:cat>
            <c:strRef>
              <c:f>Sheet4!$A$2:$A$14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783E-46D2-B94F-E06DF43B875B}"/>
            </c:ext>
          </c:extLst>
        </c:ser>
        <c:dLbls>
          <c:showLegendKey val="0"/>
          <c:showVal val="0"/>
          <c:showCatName val="0"/>
          <c:showSerName val="0"/>
          <c:showPercent val="0"/>
          <c:showBubbleSize val="0"/>
        </c:dLbls>
        <c:smooth val="0"/>
        <c:axId val="1274998192"/>
        <c:axId val="1153926224"/>
      </c:lineChart>
      <c:catAx>
        <c:axId val="127499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926224"/>
        <c:crosses val="autoZero"/>
        <c:auto val="1"/>
        <c:lblAlgn val="ctr"/>
        <c:lblOffset val="100"/>
        <c:noMultiLvlLbl val="0"/>
      </c:catAx>
      <c:valAx>
        <c:axId val="1153926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99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 (1).xlsx]Sheet4!PivotTable12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Sheet4!$K$1</c:f>
              <c:strCache>
                <c:ptCount val="1"/>
                <c:pt idx="0">
                  <c:v>Total</c:v>
                </c:pt>
              </c:strCache>
            </c:strRef>
          </c:tx>
          <c:spPr>
            <a:solidFill>
              <a:schemeClr val="accent1"/>
            </a:solidFill>
            <a:ln>
              <a:noFill/>
            </a:ln>
            <a:effectLst/>
          </c:spPr>
          <c:invertIfNegative val="0"/>
          <c:cat>
            <c:strRef>
              <c:f>Sheet4!$J$2:$J$12</c:f>
              <c:strCache>
                <c:ptCount val="10"/>
                <c:pt idx="0">
                  <c:v>Bilaspur</c:v>
                </c:pt>
                <c:pt idx="1">
                  <c:v>Bhatpara</c:v>
                </c:pt>
                <c:pt idx="2">
                  <c:v>North Dumdum</c:v>
                </c:pt>
                <c:pt idx="3">
                  <c:v>Guntakal</c:v>
                </c:pt>
                <c:pt idx="4">
                  <c:v>Dibrugarh</c:v>
                </c:pt>
                <c:pt idx="5">
                  <c:v>Bidhannagar</c:v>
                </c:pt>
                <c:pt idx="6">
                  <c:v>Haridwar</c:v>
                </c:pt>
                <c:pt idx="7">
                  <c:v>Kavali</c:v>
                </c:pt>
                <c:pt idx="8">
                  <c:v>Dhanbad</c:v>
                </c:pt>
                <c:pt idx="9">
                  <c:v>Imphal</c:v>
                </c:pt>
              </c:strCache>
            </c:strRef>
          </c:cat>
          <c:val>
            <c:numRef>
              <c:f>Sheet4!$K$2:$K$12</c:f>
              <c:numCache>
                <c:formatCode>General</c:formatCode>
                <c:ptCount val="10"/>
                <c:pt idx="0">
                  <c:v>18</c:v>
                </c:pt>
                <c:pt idx="1">
                  <c:v>18</c:v>
                </c:pt>
                <c:pt idx="2">
                  <c:v>19</c:v>
                </c:pt>
                <c:pt idx="3">
                  <c:v>20</c:v>
                </c:pt>
                <c:pt idx="4">
                  <c:v>21</c:v>
                </c:pt>
                <c:pt idx="5">
                  <c:v>21</c:v>
                </c:pt>
                <c:pt idx="6">
                  <c:v>24</c:v>
                </c:pt>
                <c:pt idx="7">
                  <c:v>27</c:v>
                </c:pt>
                <c:pt idx="8">
                  <c:v>28</c:v>
                </c:pt>
                <c:pt idx="9">
                  <c:v>29</c:v>
                </c:pt>
              </c:numCache>
            </c:numRef>
          </c:val>
          <c:extLst>
            <c:ext xmlns:c16="http://schemas.microsoft.com/office/drawing/2014/chart" uri="{C3380CC4-5D6E-409C-BE32-E72D297353CC}">
              <c16:uniqueId val="{00000003-7B77-4C07-BE29-C69E7A4EDAE2}"/>
            </c:ext>
          </c:extLst>
        </c:ser>
        <c:dLbls>
          <c:showLegendKey val="0"/>
          <c:showVal val="0"/>
          <c:showCatName val="0"/>
          <c:showSerName val="0"/>
          <c:showPercent val="0"/>
          <c:showBubbleSize val="0"/>
        </c:dLbls>
        <c:gapWidth val="219"/>
        <c:overlap val="-27"/>
        <c:axId val="1335008656"/>
        <c:axId val="1153908464"/>
      </c:barChart>
      <c:catAx>
        <c:axId val="133500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908464"/>
        <c:crosses val="autoZero"/>
        <c:auto val="1"/>
        <c:lblAlgn val="ctr"/>
        <c:lblOffset val="100"/>
        <c:noMultiLvlLbl val="0"/>
      </c:catAx>
      <c:valAx>
        <c:axId val="115390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0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 (1).xlsx]Sheet4!PivotTable10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Top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Sheet4!$H$1</c:f>
              <c:strCache>
                <c:ptCount val="1"/>
                <c:pt idx="0">
                  <c:v>Total</c:v>
                </c:pt>
              </c:strCache>
            </c:strRef>
          </c:tx>
          <c:spPr>
            <a:solidFill>
              <a:schemeClr val="accent1"/>
            </a:solidFill>
            <a:ln>
              <a:noFill/>
            </a:ln>
            <a:effectLst/>
          </c:spPr>
          <c:invertIfNegative val="0"/>
          <c:cat>
            <c:strRef>
              <c:f>Sheet4!$G$2:$G$7</c:f>
              <c:strCache>
                <c:ptCount val="5"/>
                <c:pt idx="0">
                  <c:v>Deserunt Box</c:v>
                </c:pt>
                <c:pt idx="1">
                  <c:v>Harum Pack</c:v>
                </c:pt>
                <c:pt idx="2">
                  <c:v>Dolores Gift</c:v>
                </c:pt>
                <c:pt idx="3">
                  <c:v>Quia Gift</c:v>
                </c:pt>
                <c:pt idx="4">
                  <c:v>Magnam Set</c:v>
                </c:pt>
              </c:strCache>
            </c:strRef>
          </c:cat>
          <c:val>
            <c:numRef>
              <c:f>Sheet4!$H$2:$H$7</c:f>
              <c:numCache>
                <c:formatCode>"₹"\ #,##0.00;#,##0.00\ \-"₹";"₹"\ #,##0.00</c:formatCode>
                <c:ptCount val="5"/>
                <c:pt idx="0">
                  <c:v>97665</c:v>
                </c:pt>
                <c:pt idx="1">
                  <c:v>101556</c:v>
                </c:pt>
                <c:pt idx="2">
                  <c:v>106624</c:v>
                </c:pt>
                <c:pt idx="3">
                  <c:v>114476</c:v>
                </c:pt>
                <c:pt idx="4">
                  <c:v>121905</c:v>
                </c:pt>
              </c:numCache>
            </c:numRef>
          </c:val>
          <c:extLst>
            <c:ext xmlns:c16="http://schemas.microsoft.com/office/drawing/2014/chart" uri="{C3380CC4-5D6E-409C-BE32-E72D297353CC}">
              <c16:uniqueId val="{00000003-FB6C-4085-AB14-68190843D8B9}"/>
            </c:ext>
          </c:extLst>
        </c:ser>
        <c:dLbls>
          <c:showLegendKey val="0"/>
          <c:showVal val="0"/>
          <c:showCatName val="0"/>
          <c:showSerName val="0"/>
          <c:showPercent val="0"/>
          <c:showBubbleSize val="0"/>
        </c:dLbls>
        <c:gapWidth val="219"/>
        <c:overlap val="-27"/>
        <c:axId val="1335070368"/>
        <c:axId val="1153934864"/>
      </c:barChart>
      <c:catAx>
        <c:axId val="133507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934864"/>
        <c:crosses val="autoZero"/>
        <c:auto val="1"/>
        <c:lblAlgn val="ctr"/>
        <c:lblOffset val="100"/>
        <c:noMultiLvlLbl val="0"/>
      </c:catAx>
      <c:valAx>
        <c:axId val="1153934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7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 (1).xlsx]Sheet4!PivotTable15</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Revenue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Sheet4!$B$25</c:f>
              <c:strCache>
                <c:ptCount val="1"/>
                <c:pt idx="0">
                  <c:v>Total</c:v>
                </c:pt>
              </c:strCache>
            </c:strRef>
          </c:tx>
          <c:spPr>
            <a:ln w="28575" cap="rnd">
              <a:solidFill>
                <a:schemeClr val="accent1"/>
              </a:solidFill>
              <a:round/>
            </a:ln>
            <a:effectLst/>
          </c:spPr>
          <c:marker>
            <c:symbol val="none"/>
          </c:marker>
          <c:cat>
            <c:strRef>
              <c:f>Sheet4!$A$26:$A$50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Sheet4!$B$26:$B$50</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98DA-4BC8-922E-BE8C07F574EB}"/>
            </c:ext>
          </c:extLst>
        </c:ser>
        <c:dLbls>
          <c:showLegendKey val="0"/>
          <c:showVal val="0"/>
          <c:showCatName val="0"/>
          <c:showSerName val="0"/>
          <c:showPercent val="0"/>
          <c:showBubbleSize val="0"/>
        </c:dLbls>
        <c:smooth val="0"/>
        <c:axId val="530404336"/>
        <c:axId val="1153855664"/>
      </c:lineChart>
      <c:catAx>
        <c:axId val="53040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855664"/>
        <c:crosses val="autoZero"/>
        <c:auto val="1"/>
        <c:lblAlgn val="ctr"/>
        <c:lblOffset val="100"/>
        <c:tickLblSkip val="2"/>
        <c:noMultiLvlLbl val="0"/>
      </c:catAx>
      <c:valAx>
        <c:axId val="1153855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0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24984</xdr:colOff>
      <xdr:row>8</xdr:row>
      <xdr:rowOff>21575</xdr:rowOff>
    </xdr:from>
    <xdr:to>
      <xdr:col>7</xdr:col>
      <xdr:colOff>329784</xdr:colOff>
      <xdr:row>23</xdr:row>
      <xdr:rowOff>6001</xdr:rowOff>
    </xdr:to>
    <xdr:graphicFrame macro="">
      <xdr:nvGraphicFramePr>
        <xdr:cNvPr id="2" name="Chart 1">
          <a:extLst>
            <a:ext uri="{FF2B5EF4-FFF2-40B4-BE49-F238E27FC236}">
              <a16:creationId xmlns:a16="http://schemas.microsoft.com/office/drawing/2014/main" id="{1A927AEA-DA63-49EC-BAA4-339E549B1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306947</xdr:colOff>
      <xdr:row>8</xdr:row>
      <xdr:rowOff>16736</xdr:rowOff>
    </xdr:from>
    <xdr:to>
      <xdr:col>15</xdr:col>
      <xdr:colOff>2147</xdr:colOff>
      <xdr:row>23</xdr:row>
      <xdr:rowOff>16735</xdr:rowOff>
    </xdr:to>
    <xdr:graphicFrame macro="">
      <xdr:nvGraphicFramePr>
        <xdr:cNvPr id="4" name="Chart 3">
          <a:extLst>
            <a:ext uri="{FF2B5EF4-FFF2-40B4-BE49-F238E27FC236}">
              <a16:creationId xmlns:a16="http://schemas.microsoft.com/office/drawing/2014/main" id="{6B0F2489-CBAD-4D7A-96C2-37C9AC69F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16414</xdr:rowOff>
    </xdr:from>
    <xdr:to>
      <xdr:col>7</xdr:col>
      <xdr:colOff>297180</xdr:colOff>
      <xdr:row>38</xdr:row>
      <xdr:rowOff>16414</xdr:rowOff>
    </xdr:to>
    <xdr:graphicFrame macro="">
      <xdr:nvGraphicFramePr>
        <xdr:cNvPr id="5" name="Chart 4">
          <a:extLst>
            <a:ext uri="{FF2B5EF4-FFF2-40B4-BE49-F238E27FC236}">
              <a16:creationId xmlns:a16="http://schemas.microsoft.com/office/drawing/2014/main" id="{C77E212F-4F29-4BEA-974A-C96F0F171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311455</xdr:colOff>
      <xdr:row>23</xdr:row>
      <xdr:rowOff>11905</xdr:rowOff>
    </xdr:from>
    <xdr:to>
      <xdr:col>15</xdr:col>
      <xdr:colOff>6655</xdr:colOff>
      <xdr:row>38</xdr:row>
      <xdr:rowOff>11905</xdr:rowOff>
    </xdr:to>
    <xdr:graphicFrame macro="">
      <xdr:nvGraphicFramePr>
        <xdr:cNvPr id="6" name="Chart 5">
          <a:extLst>
            <a:ext uri="{FF2B5EF4-FFF2-40B4-BE49-F238E27FC236}">
              <a16:creationId xmlns:a16="http://schemas.microsoft.com/office/drawing/2014/main" id="{D781D191-8CF9-4C4B-A8C7-C81F30529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10733</xdr:colOff>
      <xdr:row>8</xdr:row>
      <xdr:rowOff>6001</xdr:rowOff>
    </xdr:from>
    <xdr:to>
      <xdr:col>22</xdr:col>
      <xdr:colOff>375634</xdr:colOff>
      <xdr:row>23</xdr:row>
      <xdr:rowOff>6004</xdr:rowOff>
    </xdr:to>
    <xdr:graphicFrame macro="">
      <xdr:nvGraphicFramePr>
        <xdr:cNvPr id="7" name="Chart 6">
          <a:extLst>
            <a:ext uri="{FF2B5EF4-FFF2-40B4-BE49-F238E27FC236}">
              <a16:creationId xmlns:a16="http://schemas.microsoft.com/office/drawing/2014/main" id="{674CB56C-B71D-441B-ADA1-898614C17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10733</xdr:colOff>
      <xdr:row>23</xdr:row>
      <xdr:rowOff>16735</xdr:rowOff>
    </xdr:from>
    <xdr:to>
      <xdr:col>22</xdr:col>
      <xdr:colOff>354168</xdr:colOff>
      <xdr:row>37</xdr:row>
      <xdr:rowOff>176081</xdr:rowOff>
    </xdr:to>
    <xdr:graphicFrame macro="">
      <xdr:nvGraphicFramePr>
        <xdr:cNvPr id="8" name="Chart 7">
          <a:extLst>
            <a:ext uri="{FF2B5EF4-FFF2-40B4-BE49-F238E27FC236}">
              <a16:creationId xmlns:a16="http://schemas.microsoft.com/office/drawing/2014/main" id="{E6B9D651-0EDA-408D-AFA9-E1851F0D4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311018</xdr:colOff>
      <xdr:row>0</xdr:row>
      <xdr:rowOff>30997</xdr:rowOff>
    </xdr:from>
    <xdr:to>
      <xdr:col>10</xdr:col>
      <xdr:colOff>409175</xdr:colOff>
      <xdr:row>7</xdr:row>
      <xdr:rowOff>160149</xdr:rowOff>
    </xdr:to>
    <xdr:sp macro="" textlink="">
      <xdr:nvSpPr>
        <xdr:cNvPr id="12" name="Rectangle: Rounded Corners 11">
          <a:extLst>
            <a:ext uri="{FF2B5EF4-FFF2-40B4-BE49-F238E27FC236}">
              <a16:creationId xmlns:a16="http://schemas.microsoft.com/office/drawing/2014/main" id="{C81FA352-44A8-4DE3-8BD8-A3984E8A7B9B}"/>
            </a:ext>
          </a:extLst>
        </xdr:cNvPr>
        <xdr:cNvSpPr/>
      </xdr:nvSpPr>
      <xdr:spPr>
        <a:xfrm>
          <a:off x="3370563" y="30997"/>
          <a:ext cx="3157703" cy="14222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TOTAL</a:t>
          </a:r>
          <a:r>
            <a:rPr lang="en-US" sz="2400" b="1" baseline="0"/>
            <a:t> ORDERS</a:t>
          </a:r>
        </a:p>
        <a:p>
          <a:pPr algn="ctr"/>
          <a:r>
            <a:rPr lang="en-US" sz="2400" b="1"/>
            <a:t> 1000</a:t>
          </a:r>
        </a:p>
      </xdr:txBody>
    </xdr:sp>
    <xdr:clientData/>
  </xdr:twoCellAnchor>
  <xdr:twoCellAnchor>
    <xdr:from>
      <xdr:col>10</xdr:col>
      <xdr:colOff>441698</xdr:colOff>
      <xdr:row>0</xdr:row>
      <xdr:rowOff>23090</xdr:rowOff>
    </xdr:from>
    <xdr:to>
      <xdr:col>15</xdr:col>
      <xdr:colOff>539854</xdr:colOff>
      <xdr:row>7</xdr:row>
      <xdr:rowOff>152242</xdr:rowOff>
    </xdr:to>
    <xdr:sp macro="" textlink="Sheet4!E2">
      <xdr:nvSpPr>
        <xdr:cNvPr id="14" name="Rectangle: Rounded Corners 13">
          <a:extLst>
            <a:ext uri="{FF2B5EF4-FFF2-40B4-BE49-F238E27FC236}">
              <a16:creationId xmlns:a16="http://schemas.microsoft.com/office/drawing/2014/main" id="{4AD50A40-70AD-4023-9BC1-5BC119AEFE02}"/>
            </a:ext>
          </a:extLst>
        </xdr:cNvPr>
        <xdr:cNvSpPr/>
      </xdr:nvSpPr>
      <xdr:spPr>
        <a:xfrm>
          <a:off x="6560789" y="23090"/>
          <a:ext cx="3157701" cy="14222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Calibri"/>
              <a:ea typeface="Calibri"/>
              <a:cs typeface="Calibri"/>
            </a:rPr>
            <a:t>TOTAL REVENUE</a:t>
          </a:r>
        </a:p>
        <a:p>
          <a:pPr algn="ctr"/>
          <a:r>
            <a:rPr lang="en-IN" sz="2400" b="1" i="0" u="none" strike="noStrike">
              <a:solidFill>
                <a:schemeClr val="lt1"/>
              </a:solidFill>
              <a:effectLst/>
              <a:latin typeface="+mn-lt"/>
              <a:ea typeface="+mn-ea"/>
              <a:cs typeface="+mn-cs"/>
            </a:rPr>
            <a:t>₹ 35,20,984.00</a:t>
          </a:r>
          <a:r>
            <a:rPr lang="en-IN" sz="2400" b="1">
              <a:effectLst/>
            </a:rPr>
            <a:t> </a:t>
          </a:r>
          <a:endParaRPr lang="en-IN" sz="2400" b="1">
            <a:solidFill>
              <a:schemeClr val="bg1"/>
            </a:solidFill>
          </a:endParaRPr>
        </a:p>
      </xdr:txBody>
    </xdr:sp>
    <xdr:clientData/>
  </xdr:twoCellAnchor>
  <xdr:twoCellAnchor>
    <xdr:from>
      <xdr:col>15</xdr:col>
      <xdr:colOff>588731</xdr:colOff>
      <xdr:row>0</xdr:row>
      <xdr:rowOff>20739</xdr:rowOff>
    </xdr:from>
    <xdr:to>
      <xdr:col>21</xdr:col>
      <xdr:colOff>77287</xdr:colOff>
      <xdr:row>7</xdr:row>
      <xdr:rowOff>149891</xdr:rowOff>
    </xdr:to>
    <xdr:sp macro="" textlink="Sheet4!D2">
      <xdr:nvSpPr>
        <xdr:cNvPr id="15" name="Rectangle: Rounded Corners 14">
          <a:extLst>
            <a:ext uri="{FF2B5EF4-FFF2-40B4-BE49-F238E27FC236}">
              <a16:creationId xmlns:a16="http://schemas.microsoft.com/office/drawing/2014/main" id="{C364FBCF-703D-44A9-8679-7C8C1F230ED0}"/>
            </a:ext>
          </a:extLst>
        </xdr:cNvPr>
        <xdr:cNvSpPr/>
      </xdr:nvSpPr>
      <xdr:spPr>
        <a:xfrm>
          <a:off x="9732731" y="20739"/>
          <a:ext cx="3146156" cy="14421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t>Avg. Delivery Days </a:t>
          </a:r>
          <a:endParaRPr lang="en-US" sz="2400" b="1" i="0" u="none" strike="noStrike" baseline="0">
            <a:solidFill>
              <a:schemeClr val="bg1"/>
            </a:solidFill>
            <a:latin typeface="Calibri"/>
            <a:ea typeface="Calibri"/>
            <a:cs typeface="Calibri"/>
          </a:endParaRPr>
        </a:p>
        <a:p>
          <a:pPr algn="ctr"/>
          <a:r>
            <a:rPr lang="en-US" sz="2400" b="1" i="0" u="none" strike="noStrike">
              <a:solidFill>
                <a:schemeClr val="bg1"/>
              </a:solidFill>
              <a:latin typeface="Calibri"/>
              <a:ea typeface="Calibri"/>
              <a:cs typeface="Calibri"/>
            </a:rPr>
            <a:t>5.53 </a:t>
          </a:r>
          <a:endParaRPr lang="en-IN" sz="2400" b="1">
            <a:solidFill>
              <a:schemeClr val="bg1"/>
            </a:solidFill>
          </a:endParaRPr>
        </a:p>
      </xdr:txBody>
    </xdr:sp>
    <xdr:clientData/>
  </xdr:twoCellAnchor>
  <xdr:twoCellAnchor>
    <xdr:from>
      <xdr:col>21</xdr:col>
      <xdr:colOff>142062</xdr:colOff>
      <xdr:row>0</xdr:row>
      <xdr:rowOff>0</xdr:rowOff>
    </xdr:from>
    <xdr:to>
      <xdr:col>26</xdr:col>
      <xdr:colOff>240218</xdr:colOff>
      <xdr:row>7</xdr:row>
      <xdr:rowOff>129152</xdr:rowOff>
    </xdr:to>
    <xdr:sp macro="" textlink="Sheet4!F2">
      <xdr:nvSpPr>
        <xdr:cNvPr id="16" name="Rectangle: Rounded Corners 15">
          <a:extLst>
            <a:ext uri="{FF2B5EF4-FFF2-40B4-BE49-F238E27FC236}">
              <a16:creationId xmlns:a16="http://schemas.microsoft.com/office/drawing/2014/main" id="{C36A8A01-2AFE-4FE2-8218-6DDDE570B07D}"/>
            </a:ext>
          </a:extLst>
        </xdr:cNvPr>
        <xdr:cNvSpPr/>
      </xdr:nvSpPr>
      <xdr:spPr>
        <a:xfrm>
          <a:off x="12889418" y="0"/>
          <a:ext cx="3133241" cy="13948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Calibri"/>
              <a:ea typeface="Calibri"/>
              <a:cs typeface="Calibri"/>
            </a:rPr>
            <a:t>Avg Customer Spent</a:t>
          </a:r>
        </a:p>
        <a:p>
          <a:pPr algn="ctr"/>
          <a:fld id="{8ED09C24-FEDD-4AC9-A740-95D43C8DFFB3}" type="TxLink">
            <a:rPr lang="en-US" sz="2400" b="1" i="0" u="none" strike="noStrike">
              <a:solidFill>
                <a:schemeClr val="bg1"/>
              </a:solidFill>
              <a:latin typeface="Calibri"/>
              <a:ea typeface="Calibri"/>
              <a:cs typeface="Calibri"/>
            </a:rPr>
            <a:pPr algn="ctr"/>
            <a:t>₹ 3,520.98</a:t>
          </a:fld>
          <a:endParaRPr lang="en-IN" sz="2400" b="1">
            <a:solidFill>
              <a:schemeClr val="bg1"/>
            </a:solidFill>
          </a:endParaRPr>
        </a:p>
      </xdr:txBody>
    </xdr:sp>
    <xdr:clientData/>
  </xdr:twoCellAnchor>
  <xdr:twoCellAnchor editAs="oneCell">
    <xdr:from>
      <xdr:col>22</xdr:col>
      <xdr:colOff>447785</xdr:colOff>
      <xdr:row>22</xdr:row>
      <xdr:rowOff>107576</xdr:rowOff>
    </xdr:from>
    <xdr:to>
      <xdr:col>26</xdr:col>
      <xdr:colOff>363414</xdr:colOff>
      <xdr:row>38</xdr:row>
      <xdr:rowOff>21771</xdr:rowOff>
    </xdr:to>
    <mc:AlternateContent xmlns:mc="http://schemas.openxmlformats.org/markup-compatibility/2006" xmlns:a14="http://schemas.microsoft.com/office/drawing/2010/main">
      <mc:Choice Requires="a14">
        <xdr:graphicFrame macro="">
          <xdr:nvGraphicFramePr>
            <xdr:cNvPr id="17" name="Occasion 1">
              <a:extLst>
                <a:ext uri="{FF2B5EF4-FFF2-40B4-BE49-F238E27FC236}">
                  <a16:creationId xmlns:a16="http://schemas.microsoft.com/office/drawing/2014/main" id="{E8AAA809-CB2A-4617-8451-FC2C46D4F66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3858985" y="4445114"/>
              <a:ext cx="2354029" cy="2915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435761</xdr:colOff>
      <xdr:row>8</xdr:row>
      <xdr:rowOff>24798</xdr:rowOff>
    </xdr:from>
    <xdr:to>
      <xdr:col>26</xdr:col>
      <xdr:colOff>271220</xdr:colOff>
      <xdr:row>14</xdr:row>
      <xdr:rowOff>91957</xdr:rowOff>
    </xdr:to>
    <mc:AlternateContent xmlns:mc="http://schemas.openxmlformats.org/markup-compatibility/2006" xmlns:tsle="http://schemas.microsoft.com/office/drawing/2012/timeslicer">
      <mc:Choice Requires="tsle">
        <xdr:graphicFrame macro="">
          <xdr:nvGraphicFramePr>
            <xdr:cNvPr id="23" name="Order_Date">
              <a:extLst>
                <a:ext uri="{FF2B5EF4-FFF2-40B4-BE49-F238E27FC236}">
                  <a16:creationId xmlns:a16="http://schemas.microsoft.com/office/drawing/2014/main" id="{9C7766B1-DF81-2F3A-2434-D94CE5C60AF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846961" y="1525352"/>
              <a:ext cx="2273859" cy="140359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435760</xdr:colOff>
      <xdr:row>14</xdr:row>
      <xdr:rowOff>155426</xdr:rowOff>
    </xdr:from>
    <xdr:to>
      <xdr:col>26</xdr:col>
      <xdr:colOff>297051</xdr:colOff>
      <xdr:row>22</xdr:row>
      <xdr:rowOff>76274</xdr:rowOff>
    </xdr:to>
    <mc:AlternateContent xmlns:mc="http://schemas.openxmlformats.org/markup-compatibility/2006" xmlns:tsle="http://schemas.microsoft.com/office/drawing/2012/timeslicer">
      <mc:Choice Requires="tsle">
        <xdr:graphicFrame macro="">
          <xdr:nvGraphicFramePr>
            <xdr:cNvPr id="24" name="Delivery_Date">
              <a:extLst>
                <a:ext uri="{FF2B5EF4-FFF2-40B4-BE49-F238E27FC236}">
                  <a16:creationId xmlns:a16="http://schemas.microsoft.com/office/drawing/2014/main" id="{43D4E737-09EC-93E1-9A03-73B60A826829}"/>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846960" y="2992411"/>
              <a:ext cx="2299691" cy="14214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46182</xdr:colOff>
      <xdr:row>0</xdr:row>
      <xdr:rowOff>23091</xdr:rowOff>
    </xdr:from>
    <xdr:to>
      <xdr:col>5</xdr:col>
      <xdr:colOff>265545</xdr:colOff>
      <xdr:row>7</xdr:row>
      <xdr:rowOff>152243</xdr:rowOff>
    </xdr:to>
    <xdr:sp macro="" textlink="">
      <xdr:nvSpPr>
        <xdr:cNvPr id="26" name="Rectangle: Rounded Corners 25">
          <a:extLst>
            <a:ext uri="{FF2B5EF4-FFF2-40B4-BE49-F238E27FC236}">
              <a16:creationId xmlns:a16="http://schemas.microsoft.com/office/drawing/2014/main" id="{AE4B6D4A-7B55-46B1-B8E1-6F683221DC58}"/>
            </a:ext>
          </a:extLst>
        </xdr:cNvPr>
        <xdr:cNvSpPr/>
      </xdr:nvSpPr>
      <xdr:spPr>
        <a:xfrm>
          <a:off x="46182" y="23091"/>
          <a:ext cx="3278908" cy="14222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3600" b="1" baseline="0"/>
            <a:t>Sales </a:t>
          </a:r>
        </a:p>
        <a:p>
          <a:pPr algn="r"/>
          <a:r>
            <a:rPr lang="en-US" sz="3600" b="1" baseline="0"/>
            <a:t>Analysis</a:t>
          </a:r>
        </a:p>
      </xdr:txBody>
    </xdr:sp>
    <xdr:clientData/>
  </xdr:twoCellAnchor>
  <xdr:twoCellAnchor editAs="oneCell">
    <xdr:from>
      <xdr:col>0</xdr:col>
      <xdr:colOff>11546</xdr:colOff>
      <xdr:row>0</xdr:row>
      <xdr:rowOff>0</xdr:rowOff>
    </xdr:from>
    <xdr:to>
      <xdr:col>2</xdr:col>
      <xdr:colOff>254001</xdr:colOff>
      <xdr:row>7</xdr:row>
      <xdr:rowOff>173182</xdr:rowOff>
    </xdr:to>
    <xdr:pic>
      <xdr:nvPicPr>
        <xdr:cNvPr id="28" name="Picture 27">
          <a:extLst>
            <a:ext uri="{FF2B5EF4-FFF2-40B4-BE49-F238E27FC236}">
              <a16:creationId xmlns:a16="http://schemas.microsoft.com/office/drawing/2014/main" id="{949B1945-2EE4-477E-BD64-A1BDA8C3673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546" y="0"/>
          <a:ext cx="1466273" cy="14662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856504</xdr:colOff>
      <xdr:row>13</xdr:row>
      <xdr:rowOff>144781</xdr:rowOff>
    </xdr:from>
    <xdr:to>
      <xdr:col>9</xdr:col>
      <xdr:colOff>809214</xdr:colOff>
      <xdr:row>27</xdr:row>
      <xdr:rowOff>36721</xdr:rowOff>
    </xdr:to>
    <mc:AlternateContent xmlns:mc="http://schemas.openxmlformats.org/markup-compatibility/2006" xmlns:a14="http://schemas.microsoft.com/office/drawing/2010/main">
      <mc:Choice Requires="a14">
        <xdr:graphicFrame macro="">
          <xdr:nvGraphicFramePr>
            <xdr:cNvPr id="4" name="Occasion">
              <a:extLst>
                <a:ext uri="{FF2B5EF4-FFF2-40B4-BE49-F238E27FC236}">
                  <a16:creationId xmlns:a16="http://schemas.microsoft.com/office/drawing/2014/main" id="{FE3486E4-0B88-9736-34ED-421E625CE29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929384" y="2522221"/>
              <a:ext cx="1842470" cy="2452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CHAUDHARY" refreshedDate="46314.604642245373" backgroundQuery="1" createdVersion="8" refreshedVersion="8" minRefreshableVersion="3" recordCount="0" supportSubquery="1" supportAdvancedDrill="1" xr:uid="{E3582512-58C4-4AAA-903D-150CDA0DCCD3}">
  <cacheSource type="external" connectionId="8"/>
  <cacheFields count="3">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DITI CHAUDHARY" refreshedDate="46314.637493402777" backgroundQuery="1" createdVersion="8" refreshedVersion="8" minRefreshableVersion="3" recordCount="0" supportSubquery="1" supportAdvancedDrill="1" xr:uid="{63F68D90-0952-4A58-8F00-D163525FF38E}">
  <cacheSource type="external" connectionId="8"/>
  <cacheFields count="4">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DITI CHAUDHARY" refreshedDate="46314.637494560186" backgroundQuery="1" createdVersion="8" refreshedVersion="8" minRefreshableVersion="3" recordCount="0" supportSubquery="1" supportAdvancedDrill="1" xr:uid="{639D56BA-E43F-4C59-82BB-7F2B2C5DDD99}">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DITI CHAUDHARY" refreshedDate="46314.637495486109" backgroundQuery="1" createdVersion="8" refreshedVersion="8" minRefreshableVersion="3" recordCount="0" supportSubquery="1" supportAdvancedDrill="1" xr:uid="{A4CF9B1C-355B-4CA0-AF9F-7191CADAF36B}">
  <cacheSource type="external" connectionId="8"/>
  <cacheFields count="4">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DITI CHAUDHARY" refreshedDate="46314.637496527779" backgroundQuery="1" createdVersion="8" refreshedVersion="8" minRefreshableVersion="3" recordCount="0" supportSubquery="1" supportAdvancedDrill="1" xr:uid="{E1AA9DAC-6E7E-4F01-A53B-482D51A927FC}">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39" level="32767"/>
    <cacheField name="[Orders].[Hour(delivery time)].[Hour(delivery time)]" caption="Hour(delivery 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 time)].&amp;[0]"/>
            <x15:cachedUniqueName index="1" name="[Orders].[Hour(delivery time)].&amp;[1]"/>
            <x15:cachedUniqueName index="2" name="[Orders].[Hour(delivery time)].&amp;[2]"/>
            <x15:cachedUniqueName index="3" name="[Orders].[Hour(delivery time)].&amp;[3]"/>
            <x15:cachedUniqueName index="4" name="[Orders].[Hour(delivery time)].&amp;[4]"/>
            <x15:cachedUniqueName index="5" name="[Orders].[Hour(delivery time)].&amp;[5]"/>
            <x15:cachedUniqueName index="6" name="[Orders].[Hour(delivery time)].&amp;[6]"/>
            <x15:cachedUniqueName index="7" name="[Orders].[Hour(delivery time)].&amp;[7]"/>
            <x15:cachedUniqueName index="8" name="[Orders].[Hour(delivery time)].&amp;[8]"/>
            <x15:cachedUniqueName index="9" name="[Orders].[Hour(delivery time)].&amp;[9]"/>
            <x15:cachedUniqueName index="10" name="[Orders].[Hour(delivery time)].&amp;[10]"/>
            <x15:cachedUniqueName index="11" name="[Orders].[Hour(delivery time)].&amp;[11]"/>
            <x15:cachedUniqueName index="12" name="[Orders].[Hour(delivery time)].&amp;[12]"/>
            <x15:cachedUniqueName index="13" name="[Orders].[Hour(delivery time)].&amp;[13]"/>
            <x15:cachedUniqueName index="14" name="[Orders].[Hour(delivery time)].&amp;[14]"/>
            <x15:cachedUniqueName index="15" name="[Orders].[Hour(delivery time)].&amp;[15]"/>
            <x15:cachedUniqueName index="16" name="[Orders].[Hour(delivery time)].&amp;[16]"/>
            <x15:cachedUniqueName index="17" name="[Orders].[Hour(delivery time)].&amp;[17]"/>
            <x15:cachedUniqueName index="18" name="[Orders].[Hour(delivery time)].&amp;[18]"/>
            <x15:cachedUniqueName index="19" name="[Orders].[Hour(delivery time)].&amp;[19]"/>
            <x15:cachedUniqueName index="20" name="[Orders].[Hour(delivery time)].&amp;[20]"/>
            <x15:cachedUniqueName index="21" name="[Orders].[Hour(delivery time)].&amp;[21]"/>
            <x15:cachedUniqueName index="22" name="[Orders].[Hour(delivery time)].&amp;[22]"/>
            <x15:cachedUniqueName index="23" name="[Orders].[Hour(delivery time)].&amp;[23]"/>
          </x15:cachedUniqueNames>
        </ext>
      </extLst>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DITI CHAUDHARY" refreshedDate="46314.637499305558" backgroundQuery="1" createdVersion="8" refreshedVersion="8" minRefreshableVersion="3" recordCount="0" supportSubquery="1" supportAdvancedDrill="1" xr:uid="{2443920C-BD42-4978-B8AF-C9B9B3C44E37}">
  <cacheSource type="external" connectionId="8"/>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DITI CHAUDHARY" refreshedDate="46314.637500810182" backgroundQuery="1" createdVersion="8" refreshedVersion="8" minRefreshableVersion="3" recordCount="0" supportSubquery="1" supportAdvancedDrill="1" xr:uid="{4C598222-9C3B-4E93-A367-C70BEB10CF6A}">
  <cacheSource type="external" connectionId="8"/>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DITI CHAUDHARY" refreshedDate="46314.637503703707" backgroundQuery="1" createdVersion="8" refreshedVersion="8" minRefreshableVersion="3" recordCount="0" supportSubquery="1" supportAdvancedDrill="1" xr:uid="{DBFBFEB0-CBAE-4F6C-ADF4-230736BB6E31}">
  <cacheSource type="external" connectionId="8"/>
  <cacheFields count="3">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DITI CHAUDHARY" refreshedDate="46314.637506481478" backgroundQuery="1" createdVersion="8" refreshedVersion="8" minRefreshableVersion="3" recordCount="0" supportSubquery="1" supportAdvancedDrill="1" xr:uid="{71C6B80D-F6EF-4D19-A3F5-A1914FE81C2A}">
  <cacheSource type="external" connectionId="8"/>
  <cacheFields count="3">
    <cacheField name="[Measures].[Average of diff_order_delivery]" caption="Average of diff_order_delivery" numFmtId="0" hierarchy="41" level="32767"/>
    <cacheField name="[Measures].[Sum of Revenue]" caption="Sum of Revenue" numFmtId="0" hierarchy="39"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CHAUDHARY" refreshedDate="46313.956939930555" backgroundQuery="1" createdVersion="3" refreshedVersion="8" minRefreshableVersion="3" recordCount="0" supportSubquery="1" supportAdvancedDrill="1" xr:uid="{5F66F3D6-A1FC-4C6B-8DB0-915061D65F36}">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37104416"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CHAUDHARY" refreshedDate="46314.565894560183" backgroundQuery="1" createdVersion="3" refreshedVersion="8" minRefreshableVersion="3" recordCount="0" supportSubquery="1" supportAdvancedDrill="1" xr:uid="{5746A984-32B7-4252-979D-2F4BC2BFE9E5}">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8"/>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9042259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1F0C4E-7EE6-4C41-BAFA-3B771237AC40}" name="PivotTable9" cacheId="34" applyNumberFormats="0" applyBorderFormats="0" applyFontFormats="0" applyPatternFormats="0" applyAlignmentFormats="0" applyWidthHeightFormats="1" dataCaption="Values" tag="4ef81c0a-77aa-4403-914c-b8b39cd38103" updatedVersion="8" minRefreshableVersion="5" useAutoFormatting="1" subtotalHiddenItems="1" itemPrintTitles="1" createdVersion="8" indent="0" outline="1" outlineData="1" multipleFieldFilters="0">
  <location ref="D1:E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diff_order_delivery" fld="0" subtotal="average" baseField="0" baseItem="0"/>
    <dataField name="Sum of Revenue" fld="1"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3EAB54-E4A6-4F5D-B70A-2C868468F8DF}" name="PivotTable12" cacheId="16" applyNumberFormats="0" applyBorderFormats="0" applyFontFormats="0" applyPatternFormats="0" applyAlignmentFormats="0" applyWidthHeightFormats="1" dataCaption="Values" tag="ea36db61-4afd-420c-ab2c-017cedd843a6" updatedVersion="8" minRefreshableVersion="5" useAutoFormatting="1" subtotalHiddenItems="1" itemPrintTitles="1" createdVersion="8" indent="0" outline="1" outlineData="1" multipleFieldFilters="0" chartFormat="5">
  <location ref="J1:K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2"/>
    </i>
    <i>
      <x/>
    </i>
    <i>
      <x v="9"/>
    </i>
    <i>
      <x v="5"/>
    </i>
    <i>
      <x v="4"/>
    </i>
    <i>
      <x v="1"/>
    </i>
    <i>
      <x v="6"/>
    </i>
    <i>
      <x v="8"/>
    </i>
    <i>
      <x v="3"/>
    </i>
    <i>
      <x v="7"/>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C68DE3-9EE3-4824-9B34-3FEA651BA7A7}" name="PivotTable17" cacheId="28" applyNumberFormats="0" applyBorderFormats="0" applyFontFormats="0" applyPatternFormats="0" applyAlignmentFormats="0" applyWidthHeightFormats="1" dataCaption="Values" tag="7eed87db-0238-43fb-afab-771d9c3bc423" updatedVersion="8" minRefreshableVersion="5" useAutoFormatting="1" subtotalHiddenItems="1" itemPrintTitles="1" createdVersion="8" indent="0" outline="1" outlineData="1" multipleFieldFilters="0" chartFormat="14">
  <location ref="C1:C2"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1"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C2DAC0-3B30-433D-B1AD-41B08F36E292}" name="PivotTable16" cacheId="25" applyNumberFormats="0" applyBorderFormats="0" applyFontFormats="0" applyPatternFormats="0" applyAlignmentFormats="0" applyWidthHeightFormats="1" dataCaption="Values" tag="bdf47c60-aba8-438e-b979-eb3e7c8ed7b8" updatedVersion="8" minRefreshableVersion="5" useAutoFormatting="1" subtotalHiddenItems="1" itemPrintTitles="1" createdVersion="8" indent="0" outline="1" outlineData="1" multipleFieldFilters="0" chartFormat="14">
  <location ref="D32:D33"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1"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687C1D-A8FE-4F1E-B05B-22DB31571C5C}" name="PivotTable8" cacheId="31" applyNumberFormats="0" applyBorderFormats="0" applyFontFormats="0" applyPatternFormats="0" applyAlignmentFormats="0" applyWidthHeightFormats="1" dataCaption="Values" tag="866cc5f6-04e6-4cd2-9426-6c724304c807" updatedVersion="8" minRefreshableVersion="5" useAutoFormatting="1" subtotalHiddenItems="1" itemPrintTitles="1" createdVersion="8" indent="0" outline="1" outlineData="1" multipleFieldFilters="0" chartFormat="11">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974C73-A444-4762-873D-1729B58FFC15}" name="PivotTable14" cacheId="0" applyNumberFormats="0" applyBorderFormats="0" applyFontFormats="0" applyPatternFormats="0" applyAlignmentFormats="0" applyWidthHeightFormats="1" dataCaption="Values" tag="3b1fb0f6-7eba-48da-b7c9-c3efecb5b2f0" updatedVersion="8" minRefreshableVersion="5" useAutoFormatting="1" itemPrintTitles="1" createdVersion="8" indent="0" outline="1" outlineData="1" multipleFieldFilters="0" chartFormat="22">
  <location ref="D15:E2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3"/>
    </i>
    <i>
      <x v="6"/>
    </i>
    <i>
      <x v="2"/>
    </i>
    <i>
      <x v="4"/>
    </i>
    <i>
      <x/>
    </i>
    <i>
      <x v="5"/>
    </i>
    <i>
      <x v="1"/>
    </i>
    <i t="grand">
      <x/>
    </i>
  </rowItems>
  <colItems count="1">
    <i/>
  </colItems>
  <dataFields count="1">
    <dataField name="Sum of Revenue" fld="0" baseField="0" baseItem="0"/>
  </dataFields>
  <chartFormats count="3">
    <chartFormat chart="4"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E68D50-A7CA-4F1B-996C-EDCC7B9A6EE2}" name="PivotTable10" cacheId="13" applyNumberFormats="0" applyBorderFormats="0" applyFontFormats="0" applyPatternFormats="0" applyAlignmentFormats="0" applyWidthHeightFormats="1" dataCaption="Values" tag="c6aa94b9-9725-4d67-ac04-a0811ddfc939" updatedVersion="8" minRefreshableVersion="5" useAutoFormatting="1" subtotalHiddenItems="1" itemPrintTitles="1" createdVersion="8" indent="0" outline="1" outlineData="1" multipleFieldFilters="0" chartFormat="12">
  <location ref="G1:H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i>
    <i>
      <x v="2"/>
    </i>
    <i>
      <x v="1"/>
    </i>
    <i>
      <x v="4"/>
    </i>
    <i>
      <x v="3"/>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9">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44576B-35D6-4375-81F8-CAD55D90087D}" name="PivotTable13" cacheId="19" applyNumberFormats="0" applyBorderFormats="0" applyFontFormats="0" applyPatternFormats="0" applyAlignmentFormats="0" applyWidthHeightFormats="1" dataCaption="Values" tag="bf99bb3a-2eb8-49fd-8b1b-b87cdb02b1be" updatedVersion="8" minRefreshableVersion="5" useAutoFormatting="1" subtotalHiddenItems="1" itemPrintTitles="1" createdVersion="8" indent="0" outline="1" outlineData="1" multipleFieldFilters="0" chartFormat="31">
  <location ref="D4:E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2"/>
    </i>
    <i>
      <x v="3"/>
    </i>
    <i>
      <x v="4"/>
    </i>
    <i>
      <x/>
    </i>
    <i>
      <x v="6"/>
    </i>
    <i>
      <x v="5"/>
    </i>
    <i>
      <x v="1"/>
    </i>
    <i t="grand">
      <x/>
    </i>
  </rowItems>
  <colItems count="1">
    <i/>
  </colItems>
  <dataFields count="1">
    <dataField name="Sum of Revenue"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043B82-8FA4-473C-A8AD-55B123E43B74}" name="PivotTable15" cacheId="22" applyNumberFormats="0" applyBorderFormats="0" applyFontFormats="0" applyPatternFormats="0" applyAlignmentFormats="0" applyWidthHeightFormats="1" dataCaption="Values" tag="025efa63-80a4-402a-b06b-0a1087269ea2" updatedVersion="8" minRefreshableVersion="5" useAutoFormatting="1" subtotalHiddenItems="1" itemPrintTitles="1" createdVersion="8" indent="0" outline="1" outlineData="1" multipleFieldFilters="0" chartFormat="41">
  <location ref="A25:B5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2" baseItem="6"/>
  </dataFields>
  <chartFormats count="1">
    <chartFormat chart="40"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93E67498-0A5A-4FCA-B083-099945DC6FB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FE055188-363E-4EAE-931D-07CD7989CB2B}"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7" name="Day Name(order Date)"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3A72062C-EDB7-4C8D-B46A-1C54B1683534}"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3E310AA-691C-4897-8A85-E354F33A71FB}" sourceName="[Orders].[Occasion]">
  <pivotTables>
    <pivotTable tabId="8" name="PivotTable10"/>
    <pivotTable tabId="8" name="PivotTable12"/>
    <pivotTable tabId="8" name="PivotTable13"/>
    <pivotTable tabId="8" name="PivotTable15"/>
    <pivotTable tabId="8" name="PivotTable16"/>
    <pivotTable tabId="8" name="PivotTable17"/>
    <pivotTable tabId="8" name="PivotTable8"/>
    <pivotTable tabId="8" name="PivotTable9"/>
  </pivotTables>
  <data>
    <olap pivotCacheId="123710441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59BB543-20DE-49B9-A03C-5D47301DC49A}" cache="Slicer_Occasion" caption="Occasion" level="1"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B7670FB-199D-4E1E-9A28-5EA067F59CEF}"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9736F1-B43C-460D-8DD5-55B602804702}" name="Customers" displayName="Customers" ref="A1:G101" tableType="queryTable" totalsRowShown="0">
  <autoFilter ref="A1:G101" xr:uid="{4E9736F1-B43C-460D-8DD5-55B602804702}"/>
  <tableColumns count="7">
    <tableColumn id="1" xr3:uid="{946E473A-CC57-409E-88D7-B88E100ED6FB}" uniqueName="1" name="Customer_ID" queryTableFieldId="1" dataDxfId="18"/>
    <tableColumn id="2" xr3:uid="{DC9763D5-9D52-4A36-8991-C4B3411D7DEA}" uniqueName="2" name="Name" queryTableFieldId="2" dataDxfId="17"/>
    <tableColumn id="3" xr3:uid="{C09738A2-B577-4BAE-9E8B-7FDA083042FC}" uniqueName="3" name="City" queryTableFieldId="3" dataDxfId="16"/>
    <tableColumn id="4" xr3:uid="{A6FD8BDD-CD21-43F5-8F44-1AC77350339E}" uniqueName="4" name="Contact_Number" queryTableFieldId="4" dataDxfId="15"/>
    <tableColumn id="5" xr3:uid="{2A641E2B-2992-4DCA-93DE-C8A798C77FBD}" uniqueName="5" name="Email" queryTableFieldId="5" dataDxfId="14"/>
    <tableColumn id="6" xr3:uid="{BFE4F1D6-0438-4799-96C4-B5CC123D22A4}" uniqueName="6" name="Gender" queryTableFieldId="6" dataDxfId="13"/>
    <tableColumn id="7" xr3:uid="{BDA07E39-46A3-4F80-A146-B56059715357}"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93F004-8A35-43B3-AD53-20CDD09C9993}" name="Orders" displayName="Orders" ref="A1:Q1001" tableType="queryTable" totalsRowShown="0">
  <autoFilter ref="A1:Q1001" xr:uid="{B693F004-8A35-43B3-AD53-20CDD09C9993}"/>
  <tableColumns count="17">
    <tableColumn id="1" xr3:uid="{E30AA3C1-B6D9-4D56-AF25-530B81D62E48}" uniqueName="1" name="Order_ID" queryTableFieldId="1"/>
    <tableColumn id="2" xr3:uid="{A062EE47-7E7D-4980-8525-1824AC57E39B}" uniqueName="2" name="Customer_ID" queryTableFieldId="2" dataDxfId="11"/>
    <tableColumn id="3" xr3:uid="{6AE181F9-1608-402A-8DE8-E092C8BE6A27}" uniqueName="3" name="Product_ID" queryTableFieldId="3"/>
    <tableColumn id="4" xr3:uid="{8C9421F8-2908-490B-9EFF-58F702A5A2EC}" uniqueName="4" name="Quantity" queryTableFieldId="4"/>
    <tableColumn id="5" xr3:uid="{40A01980-DC9D-49A7-9B62-5FE20130C4A2}" uniqueName="5" name="Order_Date" queryTableFieldId="5" dataDxfId="10"/>
    <tableColumn id="6" xr3:uid="{2D744B44-9251-4DAE-B20F-35FA7AD3B91E}" uniqueName="6" name="Order_Time" queryTableFieldId="6" dataDxfId="9"/>
    <tableColumn id="7" xr3:uid="{6D28EF26-F1E4-452F-AA49-108E20176953}" uniqueName="7" name="Delivery_Date" queryTableFieldId="7" dataDxfId="8"/>
    <tableColumn id="8" xr3:uid="{30349CBD-5A7E-4E94-88B8-A931301EA37F}" uniqueName="8" name="Delivery_Time" queryTableFieldId="8" dataDxfId="7"/>
    <tableColumn id="9" xr3:uid="{347D4881-2119-40D9-A441-D5430E794276}" uniqueName="9" name="Location" queryTableFieldId="9" dataDxfId="6"/>
    <tableColumn id="10" xr3:uid="{D57BB2C3-A6D0-4911-B231-6930A78836CA}" uniqueName="10" name="Occasion" queryTableFieldId="10" dataDxfId="5"/>
    <tableColumn id="11" xr3:uid="{4A51A3A7-B0C7-41B7-86C3-16EA2C8F2FC2}" uniqueName="11" name="Month Name" queryTableFieldId="11" dataDxfId="4"/>
    <tableColumn id="12" xr3:uid="{6F6B046A-14C7-4660-953D-B8F290B3EE5F}" uniqueName="12" name="Hour(order time)" queryTableFieldId="12"/>
    <tableColumn id="13" xr3:uid="{20219E6C-56F9-4B43-81E5-8E46EE5A5E18}" uniqueName="13" name="diff_order_delivery" queryTableFieldId="13"/>
    <tableColumn id="14" xr3:uid="{5852B435-BBAD-49C8-A775-AE844B3A7020}" uniqueName="14" name="Hour(delivery time)" queryTableFieldId="14"/>
    <tableColumn id="15" xr3:uid="{41153D00-4D25-463E-8D33-515C37675693}" uniqueName="15" name="Price (INR)" queryTableFieldId="15"/>
    <tableColumn id="16" xr3:uid="{FBD46B59-BBC5-4C3E-8CC4-A921EBDDBBDA}" uniqueName="16" name="Revenue" queryTableFieldId="16"/>
    <tableColumn id="17" xr3:uid="{3747DE0B-EA33-4F1B-B3A0-E286594F24E8}" uniqueName="17" name="Day Name(order Dat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FD42B27-7AD9-4C70-9731-1ACCFAFED35D}" name="Products" displayName="Products" ref="A1:F71" tableType="queryTable" totalsRowShown="0">
  <autoFilter ref="A1:F71" xr:uid="{0FD42B27-7AD9-4C70-9731-1ACCFAFED35D}"/>
  <tableColumns count="6">
    <tableColumn id="1" xr3:uid="{3DA4C189-4F8F-4BD9-872F-041711CAB772}" uniqueName="1" name="Product_ID" queryTableFieldId="1"/>
    <tableColumn id="2" xr3:uid="{64492174-0671-4766-8B8B-346D103B8C19}" uniqueName="2" name="Product_Name" queryTableFieldId="2" dataDxfId="3"/>
    <tableColumn id="3" xr3:uid="{4A2B0401-B83E-42B1-B6A0-721AE39E03BD}" uniqueName="3" name="Category" queryTableFieldId="3" dataDxfId="2"/>
    <tableColumn id="4" xr3:uid="{8361D014-17B7-4BBF-B0D9-911864C42C83}" uniqueName="4" name="Price (INR)" queryTableFieldId="4"/>
    <tableColumn id="5" xr3:uid="{3950F491-1BC5-4719-9FCA-620977D295EB}" uniqueName="5" name="Occasion" queryTableFieldId="5" dataDxfId="1"/>
    <tableColumn id="6" xr3:uid="{DF02BDBF-A5AC-4621-A4A0-BEB570DCD843}"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63F28C7-4826-49AA-8E98-6021845424E4}" sourceName="[Orders].[Order_Date]">
  <pivotTables>
    <pivotTable tabId="8" name="PivotTable10"/>
    <pivotTable tabId="8" name="PivotTable12"/>
    <pivotTable tabId="8" name="PivotTable13"/>
    <pivotTable tabId="8" name="PivotTable14"/>
    <pivotTable tabId="8" name="PivotTable15"/>
    <pivotTable tabId="8" name="PivotTable16"/>
    <pivotTable tabId="8" name="PivotTable17"/>
    <pivotTable tabId="8" name="PivotTable8"/>
    <pivotTable tabId="8" name="PivotTable9"/>
  </pivotTables>
  <state minimalRefreshVersion="6" lastRefreshVersion="6" pivotCacheId="90422594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A2CDB37-E327-4B7B-9140-2486567AC452}" sourceName="[Orders].[Delivery_Date]">
  <pivotTables>
    <pivotTable tabId="8" name="PivotTable10"/>
    <pivotTable tabId="8" name="PivotTable12"/>
    <pivotTable tabId="8" name="PivotTable13"/>
    <pivotTable tabId="8" name="PivotTable14"/>
    <pivotTable tabId="8" name="PivotTable15"/>
    <pivotTable tabId="8" name="PivotTable16"/>
    <pivotTable tabId="8" name="PivotTable17"/>
    <pivotTable tabId="8" name="PivotTable8"/>
    <pivotTable tabId="8" name="PivotTable9"/>
  </pivotTables>
  <state minimalRefreshVersion="6" lastRefreshVersion="6" pivotCacheId="90422594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F90A88B-88C0-4104-8491-C1F0AF101044}" cache="Timeline_Order_Date" caption="Order_Date" level="3" selectionLevel="3" scrollPosition="2023-02-09T00:00:00"/>
  <timeline name="Delivery_Date" xr10:uid="{52AE37F2-5F19-4023-8D41-8690AFC932A6}" cache="Timeline_Delivery_Date" caption="Delivery_Date" level="2" selectionLevel="2" scrollPosition="2024-06-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7AF89-9016-47B2-B295-2F3446CBC3B7}">
  <dimension ref="A1:G101"/>
  <sheetViews>
    <sheetView workbookViewId="0">
      <selection activeCell="C4" sqref="C4"/>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80C16-A72A-49E8-BB81-1D85C207BC85}">
  <dimension ref="A1:Q1001"/>
  <sheetViews>
    <sheetView workbookViewId="0">
      <selection activeCell="L2" sqref="L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5546875" bestFit="1" customWidth="1"/>
    <col min="13" max="13" width="19.5546875" bestFit="1" customWidth="1"/>
    <col min="14" max="14" width="19.77734375" bestFit="1" customWidth="1"/>
    <col min="15" max="15" width="12.109375" bestFit="1" customWidth="1"/>
    <col min="16" max="16" width="10.5546875" bestFit="1" customWidth="1"/>
    <col min="17" max="17" width="22.3320312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995</v>
      </c>
      <c r="Q1" t="s">
        <v>996</v>
      </c>
    </row>
    <row r="2" spans="1:17"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997</v>
      </c>
    </row>
    <row r="3" spans="1:17"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998</v>
      </c>
    </row>
    <row r="4" spans="1:17"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999</v>
      </c>
    </row>
    <row r="5" spans="1:17"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997</v>
      </c>
    </row>
    <row r="6" spans="1:17"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1000</v>
      </c>
    </row>
    <row r="7" spans="1:17"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997</v>
      </c>
    </row>
    <row r="8" spans="1:17"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997</v>
      </c>
    </row>
    <row r="9" spans="1:17"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1000</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1000</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997</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997</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997</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1001</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1001</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1001</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1002</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998</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997</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997</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998</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997</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1000</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1000</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997</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1000</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998</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1000</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1002</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1003</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999</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1002</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999</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997</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997</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997</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997</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1001</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998</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998</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999</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1000</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997</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1001</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998</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997</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1000</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1001</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1002</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1002</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1000</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1000</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998</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1002</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1000</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997</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1000</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1003</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1001</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1002</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997</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997</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1000</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997</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998</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1001</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997</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997</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1000</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998</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999</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999</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1001</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1000</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1000</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997</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999</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997</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1002</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997</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1003</v>
      </c>
    </row>
    <row r="82" spans="1:17"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1002</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998</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997</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998</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999</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1000</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1001</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999</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998</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1000</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1000</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1003</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997</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997</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1000</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1001</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997</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1002</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998</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1001</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1003</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1000</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999</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1001</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1003</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1001</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1000</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1000</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1000</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1001</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1001</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997</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1001</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999</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998</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1002</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1000</v>
      </c>
    </row>
    <row r="119" spans="1:17"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1000</v>
      </c>
    </row>
    <row r="120" spans="1:17"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999</v>
      </c>
    </row>
    <row r="121" spans="1:17"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1003</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1003</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1000</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1000</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1000</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998</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1001</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998</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997</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1001</v>
      </c>
    </row>
    <row r="131" spans="1:17"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1001</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999</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1001</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999</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1002</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1002</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1001</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1003</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1000</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999</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1002</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1002</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1002</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1000</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1000</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1002</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1002</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1000</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1000</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1002</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1001</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1003</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1003</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1003</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1000</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1002</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997</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1000</v>
      </c>
    </row>
    <row r="159" spans="1:17"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1000</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1002</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1001</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1000</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1000</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1001</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1002</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1002</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1002</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1000</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1001</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1001</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1000</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1003</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1002</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1001</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1002</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1002</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1002</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1000</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1003</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1000</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1002</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1000</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1001</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1003</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1003</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1002</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997</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1000</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999</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997</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1003</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1003</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1001</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1000</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1000</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999</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1000</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1002</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1002</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1002</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1001</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998</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1001</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1003</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1003</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1002</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1001</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1000</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1001</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998</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1000</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1002</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1002</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1003</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998</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1002</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1000</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1001</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997</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999</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1002</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999</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998</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999</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999</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997</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1001</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1000</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1000</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1003</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998</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999</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1003</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998</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1000</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998</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1002</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1001</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1002</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1000</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998</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1000</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1003</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1003</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1000</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1003</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997</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1003</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1002</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1002</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998</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997</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1002</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1000</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997</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997</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1001</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1003</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997</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1003</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1003</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1002</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997</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999</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999</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997</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997</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1003</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997</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997</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1000</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1000</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997</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997</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999</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997</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999</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1000</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1000</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998</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1000</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1001</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1000</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1000</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1000</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1001</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997</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1003</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1001</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999</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1001</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998</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1003</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1001</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1002</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1002</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998</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1001</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997</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999</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999</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999</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997</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998</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999</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999</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1001</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999</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999</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1000</v>
      </c>
    </row>
    <row r="311" spans="1:17"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1002</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1000</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998</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1002</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1003</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997</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1001</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1002</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1000</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1003</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1003</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998</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998</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1001</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1001</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1003</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1002</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1002</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1000</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998</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1002</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999</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1003</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999</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1001</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999</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1000</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1003</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998</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1003</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1002</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999</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997</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1000</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999</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1003</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1001</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999</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1003</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1001</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1001</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1003</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999</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998</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1000</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997</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999</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999</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1002</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999</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1002</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1000</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1003</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1000</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1002</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1001</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1001</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1002</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1000</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1000</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1001</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1001</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997</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1002</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999</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1003</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998</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1003</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997</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1000</v>
      </c>
    </row>
    <row r="381" spans="1:17"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1000</v>
      </c>
    </row>
    <row r="382" spans="1:17"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1000</v>
      </c>
    </row>
    <row r="383" spans="1:17"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1002</v>
      </c>
    </row>
    <row r="384" spans="1:17"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1002</v>
      </c>
    </row>
    <row r="385" spans="1:17"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1000</v>
      </c>
    </row>
    <row r="386" spans="1:17"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1000</v>
      </c>
    </row>
    <row r="387" spans="1:17"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997</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999</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998</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1000</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1002</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997</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1000</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1003</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1000</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1003</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1002</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1000</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1001</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1003</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1000</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1003</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1002</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997</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997</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1002</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998</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1002</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1002</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998</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1001</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1002</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1000</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999</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1000</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1003</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1001</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1000</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1000</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1000</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1002</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1002</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998</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1001</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1000</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997</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1002</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1002</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999</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1002</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1003</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1000</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1002</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1000</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1002</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1003</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997</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1001</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998</v>
      </c>
    </row>
    <row r="440" spans="1:17"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1001</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1001</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1001</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1002</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1000</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1002</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1000</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1000</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999</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1002</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999</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1000</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1002</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1002</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1001</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1000</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998</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1000</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1001</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1001</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1002</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999</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1000</v>
      </c>
    </row>
    <row r="463" spans="1:17"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1002</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1000</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999</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998</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999</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1001</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1002</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1002</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1001</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998</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1002</v>
      </c>
    </row>
    <row r="474" spans="1:17"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998</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1002</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1002</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1001</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1002</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999</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998</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1003</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999</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997</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1001</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999</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1003</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1002</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1001</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1002</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1002</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1000</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1002</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998</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1000</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997</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1002</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1001</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1002</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1001</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999</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1002</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1002</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997</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1002</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1002</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1000</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1002</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1000</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1002</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999</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1001</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999</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997</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999</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1000</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1001</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998</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997</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1000</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998</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1001</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1003</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1002</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1002</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1000</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997</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1001</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1002</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1001</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1001</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1001</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1002</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997</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1002</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999</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998</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999</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997</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1002</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1001</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1003</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1002</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998</v>
      </c>
    </row>
    <row r="544" spans="1:17"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998</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1003</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1000</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997</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1002</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1002</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1002</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1000</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998</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999</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1003</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998</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1001</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1001</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999</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1002</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1001</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998</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999</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1002</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1002</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1001</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1001</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998</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1000</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998</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998</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997</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1002</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998</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997</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998</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1003</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1002</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997</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1000</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1002</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999</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1003</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997</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999</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1002</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1003</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998</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1003</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1003</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997</v>
      </c>
    </row>
    <row r="591" spans="1:17"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998</v>
      </c>
    </row>
    <row r="592" spans="1:17"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997</v>
      </c>
    </row>
    <row r="593" spans="1:17"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997</v>
      </c>
    </row>
    <row r="594" spans="1:17"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1003</v>
      </c>
    </row>
    <row r="595" spans="1:17"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998</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1003</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1003</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999</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1001</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1001</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997</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997</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1003</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999</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999</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1003</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1002</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997</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999</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1003</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1003</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998</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1001</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1001</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1003</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997</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999</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1000</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997</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997</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1001</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998</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1002</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998</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1001</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1000</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1003</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1000</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999</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1003</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997</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1001</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1000</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1003</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1003</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997</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1003</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999</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998</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1000</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998</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998</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1003</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1000</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1003</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997</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1002</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997</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1003</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1001</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997</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1002</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999</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998</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1003</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1002</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1001</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1003</v>
      </c>
    </row>
    <row r="659" spans="1:17"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999</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1003</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1003</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1003</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999</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998</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1002</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997</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998</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999</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1003</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1000</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1001</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999</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999</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1003</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1003</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1000</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999</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1003</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1001</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998</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1002</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1002</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999</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1000</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1001</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1000</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1003</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1001</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998</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1002</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999</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998</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999</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999</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1001</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1000</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1002</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999</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1002</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1001</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997</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1000</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1001</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998</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1000</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1000</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999</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998</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997</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999</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997</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1002</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999</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999</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1003</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997</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998</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1002</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998</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998</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999</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998</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1003</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1002</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1002</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1002</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1000</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997</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1000</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1000</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999</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999</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1002</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1003</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999</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997</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1001</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997</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1000</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997</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997</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1002</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997</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1002</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1001</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1000</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1002</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1003</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1000</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999</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1001</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1000</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1000</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997</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1001</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1003</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998</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1001</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1001</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1001</v>
      </c>
    </row>
    <row r="761" spans="1:17"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1001</v>
      </c>
    </row>
    <row r="762" spans="1:17"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999</v>
      </c>
    </row>
    <row r="763" spans="1:17"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1003</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998</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999</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1001</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1001</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1001</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1001</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997</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999</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1002</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1000</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997</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1002</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999</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1002</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1000</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1003</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1003</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1001</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1000</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1003</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1000</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999</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1001</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1000</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998</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999</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998</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999</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1001</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997</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1002</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999</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999</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1000</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997</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1000</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997</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1000</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999</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1000</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1003</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998</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1000</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998</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1000</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998</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1002</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999</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1000</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997</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1000</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999</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1002</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1003</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1002</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1003</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1001</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999</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1000</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1003</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1003</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1000</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999</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997</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998</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1000</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999</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998</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997</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1002</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1001</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999</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1002</v>
      </c>
    </row>
    <row r="837" spans="1:17"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1002</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1000</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997</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1000</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999</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998</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1003</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998</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1002</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1002</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1002</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1000</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999</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1003</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1001</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998</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999</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1000</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999</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997</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1003</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1003</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999</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997</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999</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997</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1000</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1003</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1000</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999</v>
      </c>
    </row>
    <row r="867" spans="1:17"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999</v>
      </c>
    </row>
    <row r="868" spans="1:17"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1003</v>
      </c>
    </row>
    <row r="869" spans="1:17"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1001</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1003</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999</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999</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1003</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999</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1001</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998</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1001</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999</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998</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1002</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1003</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1001</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1001</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999</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1002</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1001</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1002</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1003</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1000</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1002</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1000</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1002</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998</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1000</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997</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1000</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1003</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998</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1002</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997</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1002</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1001</v>
      </c>
    </row>
    <row r="903" spans="1:17"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1002</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998</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1003</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1000</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1001</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998</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1003</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999</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997</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997</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1003</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999</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998</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998</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1003</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1002</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1002</v>
      </c>
    </row>
    <row r="920" spans="1:17"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1000</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1001</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1001</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1001</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1002</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1003</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997</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999</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999</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1000</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997</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997</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999</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999</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1002</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998</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998</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998</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999</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1000</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997</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1001</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997</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1003</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999</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1001</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999</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1002</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997</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1003</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999</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998</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1003</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1003</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997</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1000</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997</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997</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998</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1001</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1000</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1003</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1001</v>
      </c>
    </row>
    <row r="963" spans="1:17"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1001</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1001</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1001</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998</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998</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999</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999</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1000</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1002</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999</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997</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999</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1002</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1003</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998</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999</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999</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1001</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1000</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997</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998</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998</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1000</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1002</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1001</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1003</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997</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997</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1000</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999</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1003</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999</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1003</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1000</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999</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1003</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1000</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1000</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B13D6-FB50-4D1A-87F3-6AE73F3B1D37}">
  <dimension ref="A1:F71"/>
  <sheetViews>
    <sheetView workbookViewId="0">
      <selection activeCell="G6" sqref="G6"/>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596</v>
      </c>
      <c r="B1" t="s">
        <v>846</v>
      </c>
      <c r="C1" t="s">
        <v>847</v>
      </c>
      <c r="D1" t="s">
        <v>608</v>
      </c>
      <c r="E1" t="s">
        <v>603</v>
      </c>
      <c r="F1" t="s">
        <v>848</v>
      </c>
    </row>
    <row r="2" spans="1:6" x14ac:dyDescent="0.3">
      <c r="A2">
        <v>1</v>
      </c>
      <c r="B2" t="s">
        <v>849</v>
      </c>
      <c r="C2" t="s">
        <v>850</v>
      </c>
      <c r="D2">
        <v>1935</v>
      </c>
      <c r="E2" t="s">
        <v>689</v>
      </c>
      <c r="F2" t="s">
        <v>851</v>
      </c>
    </row>
    <row r="3" spans="1:6" x14ac:dyDescent="0.3">
      <c r="A3">
        <v>2</v>
      </c>
      <c r="B3" t="s">
        <v>852</v>
      </c>
      <c r="C3" t="s">
        <v>853</v>
      </c>
      <c r="D3">
        <v>441</v>
      </c>
      <c r="E3" t="s">
        <v>610</v>
      </c>
      <c r="F3" t="s">
        <v>854</v>
      </c>
    </row>
    <row r="4" spans="1:6" x14ac:dyDescent="0.3">
      <c r="A4">
        <v>3</v>
      </c>
      <c r="B4" t="s">
        <v>855</v>
      </c>
      <c r="C4" t="s">
        <v>856</v>
      </c>
      <c r="D4">
        <v>1534</v>
      </c>
      <c r="E4" t="s">
        <v>610</v>
      </c>
      <c r="F4" t="s">
        <v>857</v>
      </c>
    </row>
    <row r="5" spans="1:6" x14ac:dyDescent="0.3">
      <c r="A5">
        <v>4</v>
      </c>
      <c r="B5" t="s">
        <v>858</v>
      </c>
      <c r="C5" t="s">
        <v>859</v>
      </c>
      <c r="D5">
        <v>1199</v>
      </c>
      <c r="E5" t="s">
        <v>819</v>
      </c>
      <c r="F5" t="s">
        <v>860</v>
      </c>
    </row>
    <row r="6" spans="1:6" x14ac:dyDescent="0.3">
      <c r="A6">
        <v>5</v>
      </c>
      <c r="B6" t="s">
        <v>861</v>
      </c>
      <c r="C6" t="s">
        <v>856</v>
      </c>
      <c r="D6">
        <v>1444</v>
      </c>
      <c r="E6" t="s">
        <v>689</v>
      </c>
      <c r="F6" t="s">
        <v>862</v>
      </c>
    </row>
    <row r="7" spans="1:6" x14ac:dyDescent="0.3">
      <c r="A7">
        <v>6</v>
      </c>
      <c r="B7" t="s">
        <v>863</v>
      </c>
      <c r="C7" t="s">
        <v>864</v>
      </c>
      <c r="D7">
        <v>1112</v>
      </c>
      <c r="E7" t="s">
        <v>691</v>
      </c>
      <c r="F7" t="s">
        <v>865</v>
      </c>
    </row>
    <row r="8" spans="1:6" x14ac:dyDescent="0.3">
      <c r="A8">
        <v>7</v>
      </c>
      <c r="B8" t="s">
        <v>866</v>
      </c>
      <c r="C8" t="s">
        <v>850</v>
      </c>
      <c r="D8">
        <v>409</v>
      </c>
      <c r="E8" t="s">
        <v>691</v>
      </c>
      <c r="F8" t="s">
        <v>867</v>
      </c>
    </row>
    <row r="9" spans="1:6" x14ac:dyDescent="0.3">
      <c r="A9">
        <v>8</v>
      </c>
      <c r="B9" t="s">
        <v>868</v>
      </c>
      <c r="C9" t="s">
        <v>859</v>
      </c>
      <c r="D9">
        <v>252</v>
      </c>
      <c r="E9" t="s">
        <v>688</v>
      </c>
      <c r="F9" t="s">
        <v>869</v>
      </c>
    </row>
    <row r="10" spans="1:6" x14ac:dyDescent="0.3">
      <c r="A10">
        <v>9</v>
      </c>
      <c r="B10" t="s">
        <v>870</v>
      </c>
      <c r="C10" t="s">
        <v>856</v>
      </c>
      <c r="D10">
        <v>1605</v>
      </c>
      <c r="E10" t="s">
        <v>784</v>
      </c>
      <c r="F10" t="s">
        <v>871</v>
      </c>
    </row>
    <row r="11" spans="1:6" x14ac:dyDescent="0.3">
      <c r="A11">
        <v>10</v>
      </c>
      <c r="B11" t="s">
        <v>872</v>
      </c>
      <c r="C11" t="s">
        <v>864</v>
      </c>
      <c r="D11">
        <v>259</v>
      </c>
      <c r="E11" t="s">
        <v>697</v>
      </c>
      <c r="F11" t="s">
        <v>873</v>
      </c>
    </row>
    <row r="12" spans="1:6" x14ac:dyDescent="0.3">
      <c r="A12">
        <v>11</v>
      </c>
      <c r="B12" t="s">
        <v>874</v>
      </c>
      <c r="C12" t="s">
        <v>875</v>
      </c>
      <c r="D12">
        <v>1096</v>
      </c>
      <c r="E12" t="s">
        <v>610</v>
      </c>
      <c r="F12" t="s">
        <v>876</v>
      </c>
    </row>
    <row r="13" spans="1:6" x14ac:dyDescent="0.3">
      <c r="A13">
        <v>12</v>
      </c>
      <c r="B13" t="s">
        <v>877</v>
      </c>
      <c r="C13" t="s">
        <v>853</v>
      </c>
      <c r="D13">
        <v>672</v>
      </c>
      <c r="E13" t="s">
        <v>688</v>
      </c>
      <c r="F13" t="s">
        <v>878</v>
      </c>
    </row>
    <row r="14" spans="1:6" x14ac:dyDescent="0.3">
      <c r="A14">
        <v>13</v>
      </c>
      <c r="B14" t="s">
        <v>879</v>
      </c>
      <c r="C14" t="s">
        <v>875</v>
      </c>
      <c r="D14">
        <v>1141</v>
      </c>
      <c r="E14" t="s">
        <v>691</v>
      </c>
      <c r="F14" t="s">
        <v>880</v>
      </c>
    </row>
    <row r="15" spans="1:6" x14ac:dyDescent="0.3">
      <c r="A15">
        <v>14</v>
      </c>
      <c r="B15" t="s">
        <v>881</v>
      </c>
      <c r="C15" t="s">
        <v>856</v>
      </c>
      <c r="D15">
        <v>1915</v>
      </c>
      <c r="E15" t="s">
        <v>697</v>
      </c>
      <c r="F15" t="s">
        <v>882</v>
      </c>
    </row>
    <row r="16" spans="1:6" x14ac:dyDescent="0.3">
      <c r="A16">
        <v>15</v>
      </c>
      <c r="B16" t="s">
        <v>883</v>
      </c>
      <c r="C16" t="s">
        <v>784</v>
      </c>
      <c r="D16">
        <v>1488</v>
      </c>
      <c r="E16" t="s">
        <v>688</v>
      </c>
      <c r="F16" t="s">
        <v>884</v>
      </c>
    </row>
    <row r="17" spans="1:6" x14ac:dyDescent="0.3">
      <c r="A17">
        <v>16</v>
      </c>
      <c r="B17" t="s">
        <v>885</v>
      </c>
      <c r="C17" t="s">
        <v>859</v>
      </c>
      <c r="D17">
        <v>1721</v>
      </c>
      <c r="E17" t="s">
        <v>691</v>
      </c>
      <c r="F17" t="s">
        <v>886</v>
      </c>
    </row>
    <row r="18" spans="1:6" x14ac:dyDescent="0.3">
      <c r="A18">
        <v>17</v>
      </c>
      <c r="B18" t="s">
        <v>887</v>
      </c>
      <c r="C18" t="s">
        <v>850</v>
      </c>
      <c r="D18">
        <v>1899</v>
      </c>
      <c r="E18" t="s">
        <v>688</v>
      </c>
      <c r="F18" t="s">
        <v>888</v>
      </c>
    </row>
    <row r="19" spans="1:6" x14ac:dyDescent="0.3">
      <c r="A19">
        <v>18</v>
      </c>
      <c r="B19" t="s">
        <v>889</v>
      </c>
      <c r="C19" t="s">
        <v>853</v>
      </c>
      <c r="D19">
        <v>781</v>
      </c>
      <c r="E19" t="s">
        <v>697</v>
      </c>
      <c r="F19" t="s">
        <v>890</v>
      </c>
    </row>
    <row r="20" spans="1:6" x14ac:dyDescent="0.3">
      <c r="A20">
        <v>19</v>
      </c>
      <c r="B20" t="s">
        <v>891</v>
      </c>
      <c r="C20" t="s">
        <v>875</v>
      </c>
      <c r="D20">
        <v>1234</v>
      </c>
      <c r="E20" t="s">
        <v>610</v>
      </c>
      <c r="F20" t="s">
        <v>892</v>
      </c>
    </row>
    <row r="21" spans="1:6" x14ac:dyDescent="0.3">
      <c r="A21">
        <v>20</v>
      </c>
      <c r="B21" t="s">
        <v>893</v>
      </c>
      <c r="C21" t="s">
        <v>856</v>
      </c>
      <c r="D21">
        <v>697</v>
      </c>
      <c r="E21" t="s">
        <v>688</v>
      </c>
      <c r="F21" t="s">
        <v>894</v>
      </c>
    </row>
    <row r="22" spans="1:6" x14ac:dyDescent="0.3">
      <c r="A22">
        <v>21</v>
      </c>
      <c r="B22" t="s">
        <v>895</v>
      </c>
      <c r="C22" t="s">
        <v>856</v>
      </c>
      <c r="D22">
        <v>1561</v>
      </c>
      <c r="E22" t="s">
        <v>784</v>
      </c>
      <c r="F22" t="s">
        <v>896</v>
      </c>
    </row>
    <row r="23" spans="1:6" x14ac:dyDescent="0.3">
      <c r="A23">
        <v>22</v>
      </c>
      <c r="B23" t="s">
        <v>897</v>
      </c>
      <c r="C23" t="s">
        <v>850</v>
      </c>
      <c r="D23">
        <v>1639</v>
      </c>
      <c r="E23" t="s">
        <v>689</v>
      </c>
      <c r="F23" t="s">
        <v>898</v>
      </c>
    </row>
    <row r="24" spans="1:6" x14ac:dyDescent="0.3">
      <c r="A24">
        <v>23</v>
      </c>
      <c r="B24" t="s">
        <v>899</v>
      </c>
      <c r="C24" t="s">
        <v>859</v>
      </c>
      <c r="D24">
        <v>1098</v>
      </c>
      <c r="E24" t="s">
        <v>688</v>
      </c>
      <c r="F24" t="s">
        <v>900</v>
      </c>
    </row>
    <row r="25" spans="1:6" x14ac:dyDescent="0.3">
      <c r="A25">
        <v>24</v>
      </c>
      <c r="B25" t="s">
        <v>901</v>
      </c>
      <c r="C25" t="s">
        <v>875</v>
      </c>
      <c r="D25">
        <v>535</v>
      </c>
      <c r="E25" t="s">
        <v>697</v>
      </c>
      <c r="F25" t="s">
        <v>902</v>
      </c>
    </row>
    <row r="26" spans="1:6" x14ac:dyDescent="0.3">
      <c r="A26">
        <v>25</v>
      </c>
      <c r="B26" t="s">
        <v>903</v>
      </c>
      <c r="C26" t="s">
        <v>853</v>
      </c>
      <c r="D26">
        <v>1202</v>
      </c>
      <c r="E26" t="s">
        <v>688</v>
      </c>
      <c r="F26" t="s">
        <v>904</v>
      </c>
    </row>
    <row r="27" spans="1:6" x14ac:dyDescent="0.3">
      <c r="A27">
        <v>26</v>
      </c>
      <c r="B27" t="s">
        <v>905</v>
      </c>
      <c r="C27" t="s">
        <v>856</v>
      </c>
      <c r="D27">
        <v>289</v>
      </c>
      <c r="E27" t="s">
        <v>691</v>
      </c>
      <c r="F27" t="s">
        <v>906</v>
      </c>
    </row>
    <row r="28" spans="1:6" x14ac:dyDescent="0.3">
      <c r="A28">
        <v>27</v>
      </c>
      <c r="B28" t="s">
        <v>907</v>
      </c>
      <c r="C28" t="s">
        <v>864</v>
      </c>
      <c r="D28">
        <v>548</v>
      </c>
      <c r="E28" t="s">
        <v>784</v>
      </c>
      <c r="F28" t="s">
        <v>908</v>
      </c>
    </row>
    <row r="29" spans="1:6" x14ac:dyDescent="0.3">
      <c r="A29">
        <v>28</v>
      </c>
      <c r="B29" t="s">
        <v>909</v>
      </c>
      <c r="C29" t="s">
        <v>859</v>
      </c>
      <c r="D29">
        <v>1778</v>
      </c>
      <c r="E29" t="s">
        <v>784</v>
      </c>
      <c r="F29" t="s">
        <v>910</v>
      </c>
    </row>
    <row r="30" spans="1:6" x14ac:dyDescent="0.3">
      <c r="A30">
        <v>29</v>
      </c>
      <c r="B30" t="s">
        <v>911</v>
      </c>
      <c r="C30" t="s">
        <v>856</v>
      </c>
      <c r="D30">
        <v>1252</v>
      </c>
      <c r="E30" t="s">
        <v>691</v>
      </c>
      <c r="F30" t="s">
        <v>912</v>
      </c>
    </row>
    <row r="31" spans="1:6" x14ac:dyDescent="0.3">
      <c r="A31">
        <v>30</v>
      </c>
      <c r="B31" t="s">
        <v>913</v>
      </c>
      <c r="C31" t="s">
        <v>856</v>
      </c>
      <c r="D31">
        <v>751</v>
      </c>
      <c r="E31" t="s">
        <v>688</v>
      </c>
      <c r="F31" t="s">
        <v>914</v>
      </c>
    </row>
    <row r="32" spans="1:6" x14ac:dyDescent="0.3">
      <c r="A32">
        <v>31</v>
      </c>
      <c r="B32" t="s">
        <v>915</v>
      </c>
      <c r="C32" t="s">
        <v>856</v>
      </c>
      <c r="D32">
        <v>1804</v>
      </c>
      <c r="E32" t="s">
        <v>689</v>
      </c>
      <c r="F32" t="s">
        <v>916</v>
      </c>
    </row>
    <row r="33" spans="1:6" x14ac:dyDescent="0.3">
      <c r="A33">
        <v>32</v>
      </c>
      <c r="B33" t="s">
        <v>917</v>
      </c>
      <c r="C33" t="s">
        <v>850</v>
      </c>
      <c r="D33">
        <v>1792</v>
      </c>
      <c r="E33" t="s">
        <v>697</v>
      </c>
      <c r="F33" t="s">
        <v>918</v>
      </c>
    </row>
    <row r="34" spans="1:6" x14ac:dyDescent="0.3">
      <c r="A34">
        <v>33</v>
      </c>
      <c r="B34" t="s">
        <v>919</v>
      </c>
      <c r="C34" t="s">
        <v>856</v>
      </c>
      <c r="D34">
        <v>314</v>
      </c>
      <c r="E34" t="s">
        <v>610</v>
      </c>
      <c r="F34" t="s">
        <v>920</v>
      </c>
    </row>
    <row r="35" spans="1:6" x14ac:dyDescent="0.3">
      <c r="A35">
        <v>34</v>
      </c>
      <c r="B35" t="s">
        <v>921</v>
      </c>
      <c r="C35" t="s">
        <v>850</v>
      </c>
      <c r="D35">
        <v>1335</v>
      </c>
      <c r="E35" t="s">
        <v>784</v>
      </c>
      <c r="F35" t="s">
        <v>922</v>
      </c>
    </row>
    <row r="36" spans="1:6" x14ac:dyDescent="0.3">
      <c r="A36">
        <v>35</v>
      </c>
      <c r="B36" t="s">
        <v>923</v>
      </c>
      <c r="C36" t="s">
        <v>856</v>
      </c>
      <c r="D36">
        <v>1865</v>
      </c>
      <c r="E36" t="s">
        <v>691</v>
      </c>
      <c r="F36" t="s">
        <v>924</v>
      </c>
    </row>
    <row r="37" spans="1:6" x14ac:dyDescent="0.3">
      <c r="A37">
        <v>36</v>
      </c>
      <c r="B37" t="s">
        <v>925</v>
      </c>
      <c r="C37" t="s">
        <v>853</v>
      </c>
      <c r="D37">
        <v>203</v>
      </c>
      <c r="E37" t="s">
        <v>697</v>
      </c>
      <c r="F37" t="s">
        <v>926</v>
      </c>
    </row>
    <row r="38" spans="1:6" x14ac:dyDescent="0.3">
      <c r="A38">
        <v>37</v>
      </c>
      <c r="B38" t="s">
        <v>927</v>
      </c>
      <c r="C38" t="s">
        <v>856</v>
      </c>
      <c r="D38">
        <v>1428</v>
      </c>
      <c r="E38" t="s">
        <v>819</v>
      </c>
      <c r="F38" t="s">
        <v>928</v>
      </c>
    </row>
    <row r="39" spans="1:6" x14ac:dyDescent="0.3">
      <c r="A39">
        <v>38</v>
      </c>
      <c r="B39" t="s">
        <v>929</v>
      </c>
      <c r="C39" t="s">
        <v>864</v>
      </c>
      <c r="D39">
        <v>562</v>
      </c>
      <c r="E39" t="s">
        <v>697</v>
      </c>
      <c r="F39" t="s">
        <v>930</v>
      </c>
    </row>
    <row r="40" spans="1:6" x14ac:dyDescent="0.3">
      <c r="A40">
        <v>39</v>
      </c>
      <c r="B40" t="s">
        <v>931</v>
      </c>
      <c r="C40" t="s">
        <v>875</v>
      </c>
      <c r="D40">
        <v>387</v>
      </c>
      <c r="E40" t="s">
        <v>689</v>
      </c>
      <c r="F40" t="s">
        <v>932</v>
      </c>
    </row>
    <row r="41" spans="1:6" x14ac:dyDescent="0.3">
      <c r="A41">
        <v>40</v>
      </c>
      <c r="B41" t="s">
        <v>933</v>
      </c>
      <c r="C41" t="s">
        <v>859</v>
      </c>
      <c r="D41">
        <v>1923</v>
      </c>
      <c r="E41" t="s">
        <v>688</v>
      </c>
      <c r="F41" t="s">
        <v>934</v>
      </c>
    </row>
    <row r="42" spans="1:6" x14ac:dyDescent="0.3">
      <c r="A42">
        <v>41</v>
      </c>
      <c r="B42" t="s">
        <v>935</v>
      </c>
      <c r="C42" t="s">
        <v>859</v>
      </c>
      <c r="D42">
        <v>1977</v>
      </c>
      <c r="E42" t="s">
        <v>819</v>
      </c>
      <c r="F42" t="s">
        <v>936</v>
      </c>
    </row>
    <row r="43" spans="1:6" x14ac:dyDescent="0.3">
      <c r="A43">
        <v>42</v>
      </c>
      <c r="B43" t="s">
        <v>937</v>
      </c>
      <c r="C43" t="s">
        <v>859</v>
      </c>
      <c r="D43">
        <v>1744</v>
      </c>
      <c r="E43" t="s">
        <v>689</v>
      </c>
      <c r="F43" t="s">
        <v>938</v>
      </c>
    </row>
    <row r="44" spans="1:6" x14ac:dyDescent="0.3">
      <c r="A44">
        <v>43</v>
      </c>
      <c r="B44" t="s">
        <v>939</v>
      </c>
      <c r="C44" t="s">
        <v>784</v>
      </c>
      <c r="D44">
        <v>750</v>
      </c>
      <c r="E44" t="s">
        <v>819</v>
      </c>
      <c r="F44" t="s">
        <v>940</v>
      </c>
    </row>
    <row r="45" spans="1:6" x14ac:dyDescent="0.3">
      <c r="A45">
        <v>44</v>
      </c>
      <c r="B45" t="s">
        <v>941</v>
      </c>
      <c r="C45" t="s">
        <v>853</v>
      </c>
      <c r="D45">
        <v>794</v>
      </c>
      <c r="E45" t="s">
        <v>819</v>
      </c>
      <c r="F45" t="s">
        <v>942</v>
      </c>
    </row>
    <row r="46" spans="1:6" x14ac:dyDescent="0.3">
      <c r="A46">
        <v>45</v>
      </c>
      <c r="B46" t="s">
        <v>943</v>
      </c>
      <c r="C46" t="s">
        <v>784</v>
      </c>
      <c r="D46">
        <v>722</v>
      </c>
      <c r="E46" t="s">
        <v>697</v>
      </c>
      <c r="F46" t="s">
        <v>944</v>
      </c>
    </row>
    <row r="47" spans="1:6" x14ac:dyDescent="0.3">
      <c r="A47">
        <v>46</v>
      </c>
      <c r="B47" t="s">
        <v>945</v>
      </c>
      <c r="C47" t="s">
        <v>864</v>
      </c>
      <c r="D47">
        <v>758</v>
      </c>
      <c r="E47" t="s">
        <v>688</v>
      </c>
      <c r="F47" t="s">
        <v>946</v>
      </c>
    </row>
    <row r="48" spans="1:6" x14ac:dyDescent="0.3">
      <c r="A48">
        <v>47</v>
      </c>
      <c r="B48" t="s">
        <v>947</v>
      </c>
      <c r="C48" t="s">
        <v>856</v>
      </c>
      <c r="D48">
        <v>1638</v>
      </c>
      <c r="E48" t="s">
        <v>691</v>
      </c>
      <c r="F48" t="s">
        <v>948</v>
      </c>
    </row>
    <row r="49" spans="1:6" x14ac:dyDescent="0.3">
      <c r="A49">
        <v>48</v>
      </c>
      <c r="B49" t="s">
        <v>949</v>
      </c>
      <c r="C49" t="s">
        <v>856</v>
      </c>
      <c r="D49">
        <v>433</v>
      </c>
      <c r="E49" t="s">
        <v>819</v>
      </c>
      <c r="F49" t="s">
        <v>950</v>
      </c>
    </row>
    <row r="50" spans="1:6" x14ac:dyDescent="0.3">
      <c r="A50">
        <v>49</v>
      </c>
      <c r="B50" t="s">
        <v>951</v>
      </c>
      <c r="C50" t="s">
        <v>856</v>
      </c>
      <c r="D50">
        <v>903</v>
      </c>
      <c r="E50" t="s">
        <v>610</v>
      </c>
      <c r="F50" t="s">
        <v>952</v>
      </c>
    </row>
    <row r="51" spans="1:6" x14ac:dyDescent="0.3">
      <c r="A51">
        <v>50</v>
      </c>
      <c r="B51" t="s">
        <v>953</v>
      </c>
      <c r="C51" t="s">
        <v>853</v>
      </c>
      <c r="D51">
        <v>422</v>
      </c>
      <c r="E51" t="s">
        <v>691</v>
      </c>
      <c r="F51" t="s">
        <v>954</v>
      </c>
    </row>
    <row r="52" spans="1:6" x14ac:dyDescent="0.3">
      <c r="A52">
        <v>51</v>
      </c>
      <c r="B52" t="s">
        <v>955</v>
      </c>
      <c r="C52" t="s">
        <v>850</v>
      </c>
      <c r="D52">
        <v>1084</v>
      </c>
      <c r="E52" t="s">
        <v>689</v>
      </c>
      <c r="F52" t="s">
        <v>956</v>
      </c>
    </row>
    <row r="53" spans="1:6" x14ac:dyDescent="0.3">
      <c r="A53">
        <v>52</v>
      </c>
      <c r="B53" t="s">
        <v>957</v>
      </c>
      <c r="C53" t="s">
        <v>784</v>
      </c>
      <c r="D53">
        <v>236</v>
      </c>
      <c r="E53" t="s">
        <v>610</v>
      </c>
      <c r="F53" t="s">
        <v>958</v>
      </c>
    </row>
    <row r="54" spans="1:6" x14ac:dyDescent="0.3">
      <c r="A54">
        <v>53</v>
      </c>
      <c r="B54" t="s">
        <v>959</v>
      </c>
      <c r="C54" t="s">
        <v>859</v>
      </c>
      <c r="D54">
        <v>1672</v>
      </c>
      <c r="E54" t="s">
        <v>784</v>
      </c>
      <c r="F54" t="s">
        <v>960</v>
      </c>
    </row>
    <row r="55" spans="1:6" x14ac:dyDescent="0.3">
      <c r="A55">
        <v>54</v>
      </c>
      <c r="B55" t="s">
        <v>961</v>
      </c>
      <c r="C55" t="s">
        <v>864</v>
      </c>
      <c r="D55">
        <v>1236</v>
      </c>
      <c r="E55" t="s">
        <v>688</v>
      </c>
      <c r="F55" t="s">
        <v>962</v>
      </c>
    </row>
    <row r="56" spans="1:6" x14ac:dyDescent="0.3">
      <c r="A56">
        <v>55</v>
      </c>
      <c r="B56" t="s">
        <v>963</v>
      </c>
      <c r="C56" t="s">
        <v>850</v>
      </c>
      <c r="D56">
        <v>1904</v>
      </c>
      <c r="E56" t="s">
        <v>784</v>
      </c>
      <c r="F56" t="s">
        <v>964</v>
      </c>
    </row>
    <row r="57" spans="1:6" x14ac:dyDescent="0.3">
      <c r="A57">
        <v>56</v>
      </c>
      <c r="B57" t="s">
        <v>895</v>
      </c>
      <c r="C57" t="s">
        <v>784</v>
      </c>
      <c r="D57">
        <v>1272</v>
      </c>
      <c r="E57" t="s">
        <v>688</v>
      </c>
      <c r="F57" t="s">
        <v>965</v>
      </c>
    </row>
    <row r="58" spans="1:6" x14ac:dyDescent="0.3">
      <c r="A58">
        <v>57</v>
      </c>
      <c r="B58" t="s">
        <v>966</v>
      </c>
      <c r="C58" t="s">
        <v>856</v>
      </c>
      <c r="D58">
        <v>1582</v>
      </c>
      <c r="E58" t="s">
        <v>697</v>
      </c>
      <c r="F58" t="s">
        <v>967</v>
      </c>
    </row>
    <row r="59" spans="1:6" x14ac:dyDescent="0.3">
      <c r="A59">
        <v>58</v>
      </c>
      <c r="B59" t="s">
        <v>968</v>
      </c>
      <c r="C59" t="s">
        <v>864</v>
      </c>
      <c r="D59">
        <v>1492</v>
      </c>
      <c r="E59" t="s">
        <v>610</v>
      </c>
      <c r="F59" t="s">
        <v>969</v>
      </c>
    </row>
    <row r="60" spans="1:6" x14ac:dyDescent="0.3">
      <c r="A60">
        <v>59</v>
      </c>
      <c r="B60" t="s">
        <v>970</v>
      </c>
      <c r="C60" t="s">
        <v>864</v>
      </c>
      <c r="D60">
        <v>811</v>
      </c>
      <c r="E60" t="s">
        <v>784</v>
      </c>
      <c r="F60" t="s">
        <v>971</v>
      </c>
    </row>
    <row r="61" spans="1:6" x14ac:dyDescent="0.3">
      <c r="A61">
        <v>60</v>
      </c>
      <c r="B61" t="s">
        <v>972</v>
      </c>
      <c r="C61" t="s">
        <v>859</v>
      </c>
      <c r="D61">
        <v>827</v>
      </c>
      <c r="E61" t="s">
        <v>819</v>
      </c>
      <c r="F61" t="s">
        <v>973</v>
      </c>
    </row>
    <row r="62" spans="1:6" x14ac:dyDescent="0.3">
      <c r="A62">
        <v>61</v>
      </c>
      <c r="B62" t="s">
        <v>974</v>
      </c>
      <c r="C62" t="s">
        <v>853</v>
      </c>
      <c r="D62">
        <v>810</v>
      </c>
      <c r="E62" t="s">
        <v>688</v>
      </c>
      <c r="F62" t="s">
        <v>975</v>
      </c>
    </row>
    <row r="63" spans="1:6" x14ac:dyDescent="0.3">
      <c r="A63">
        <v>62</v>
      </c>
      <c r="B63" t="s">
        <v>976</v>
      </c>
      <c r="C63" t="s">
        <v>856</v>
      </c>
      <c r="D63">
        <v>1356</v>
      </c>
      <c r="E63" t="s">
        <v>691</v>
      </c>
      <c r="F63" t="s">
        <v>977</v>
      </c>
    </row>
    <row r="64" spans="1:6" x14ac:dyDescent="0.3">
      <c r="A64">
        <v>63</v>
      </c>
      <c r="B64" t="s">
        <v>978</v>
      </c>
      <c r="C64" t="s">
        <v>859</v>
      </c>
      <c r="D64">
        <v>1348</v>
      </c>
      <c r="E64" t="s">
        <v>689</v>
      </c>
      <c r="F64" t="s">
        <v>979</v>
      </c>
    </row>
    <row r="65" spans="1:6" x14ac:dyDescent="0.3">
      <c r="A65">
        <v>64</v>
      </c>
      <c r="B65" t="s">
        <v>980</v>
      </c>
      <c r="C65" t="s">
        <v>850</v>
      </c>
      <c r="D65">
        <v>1878</v>
      </c>
      <c r="E65" t="s">
        <v>784</v>
      </c>
      <c r="F65" t="s">
        <v>981</v>
      </c>
    </row>
    <row r="66" spans="1:6" x14ac:dyDescent="0.3">
      <c r="A66">
        <v>65</v>
      </c>
      <c r="B66" t="s">
        <v>982</v>
      </c>
      <c r="C66" t="s">
        <v>784</v>
      </c>
      <c r="D66">
        <v>1895</v>
      </c>
      <c r="E66" t="s">
        <v>689</v>
      </c>
      <c r="F66" t="s">
        <v>983</v>
      </c>
    </row>
    <row r="67" spans="1:6" x14ac:dyDescent="0.3">
      <c r="A67">
        <v>66</v>
      </c>
      <c r="B67" t="s">
        <v>984</v>
      </c>
      <c r="C67" t="s">
        <v>856</v>
      </c>
      <c r="D67">
        <v>610</v>
      </c>
      <c r="E67" t="s">
        <v>691</v>
      </c>
      <c r="F67" t="s">
        <v>985</v>
      </c>
    </row>
    <row r="68" spans="1:6" x14ac:dyDescent="0.3">
      <c r="A68">
        <v>67</v>
      </c>
      <c r="B68" t="s">
        <v>986</v>
      </c>
      <c r="C68" t="s">
        <v>784</v>
      </c>
      <c r="D68">
        <v>1374</v>
      </c>
      <c r="E68" t="s">
        <v>688</v>
      </c>
      <c r="F68" t="s">
        <v>987</v>
      </c>
    </row>
    <row r="69" spans="1:6" x14ac:dyDescent="0.3">
      <c r="A69">
        <v>68</v>
      </c>
      <c r="B69" t="s">
        <v>988</v>
      </c>
      <c r="C69" t="s">
        <v>850</v>
      </c>
      <c r="D69">
        <v>597</v>
      </c>
      <c r="E69" t="s">
        <v>610</v>
      </c>
      <c r="F69" t="s">
        <v>989</v>
      </c>
    </row>
    <row r="70" spans="1:6" x14ac:dyDescent="0.3">
      <c r="A70">
        <v>69</v>
      </c>
      <c r="B70" t="s">
        <v>990</v>
      </c>
      <c r="C70" t="s">
        <v>864</v>
      </c>
      <c r="D70">
        <v>998</v>
      </c>
      <c r="E70" t="s">
        <v>691</v>
      </c>
      <c r="F70" t="s">
        <v>991</v>
      </c>
    </row>
    <row r="71" spans="1:6" x14ac:dyDescent="0.3">
      <c r="A71">
        <v>70</v>
      </c>
      <c r="B71" t="s">
        <v>982</v>
      </c>
      <c r="C71" t="s">
        <v>859</v>
      </c>
      <c r="D71">
        <v>866</v>
      </c>
      <c r="E71" t="s">
        <v>697</v>
      </c>
      <c r="F71" t="s">
        <v>992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0A303-976A-4645-ACEF-38079A18DCE4}">
  <dimension ref="AC14"/>
  <sheetViews>
    <sheetView tabSelected="1" topLeftCell="A5" zoomScale="61" zoomScaleNormal="70" workbookViewId="0">
      <selection activeCell="W43" sqref="W43"/>
    </sheetView>
  </sheetViews>
  <sheetFormatPr defaultRowHeight="14.4" x14ac:dyDescent="0.3"/>
  <cols>
    <col min="1" max="16384" width="8.88671875" style="8"/>
  </cols>
  <sheetData>
    <row r="14" spans="29:29" ht="31.2" x14ac:dyDescent="0.6">
      <c r="AC14"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D9FE6-F6B2-4001-8905-5FA2DFE84369}">
  <dimension ref="A1:K50"/>
  <sheetViews>
    <sheetView topLeftCell="A7" zoomScale="75" zoomScaleNormal="115" workbookViewId="0">
      <selection activeCell="V42" sqref="V42"/>
    </sheetView>
  </sheetViews>
  <sheetFormatPr defaultRowHeight="14.4" x14ac:dyDescent="0.3"/>
  <cols>
    <col min="1" max="1" width="13.77734375" bestFit="1" customWidth="1"/>
    <col min="2" max="2" width="15.33203125" bestFit="1" customWidth="1"/>
    <col min="3" max="3" width="17.109375" bestFit="1" customWidth="1"/>
    <col min="4" max="4" width="28.109375" bestFit="1" customWidth="1"/>
    <col min="5" max="5" width="15.33203125" bestFit="1" customWidth="1"/>
    <col min="6" max="6" width="27.44140625" bestFit="1" customWidth="1"/>
    <col min="7" max="7" width="13.77734375" bestFit="1" customWidth="1"/>
    <col min="8" max="8" width="15.33203125" bestFit="1" customWidth="1"/>
    <col min="9" max="9" width="12.109375" bestFit="1" customWidth="1"/>
    <col min="10" max="10" width="14.21875" bestFit="1" customWidth="1"/>
    <col min="11" max="11" width="17.109375" bestFit="1" customWidth="1"/>
    <col min="12" max="14" width="12.109375" bestFit="1" customWidth="1"/>
    <col min="15" max="15" width="13.21875" bestFit="1" customWidth="1"/>
  </cols>
  <sheetData>
    <row r="1" spans="1:11" x14ac:dyDescent="0.3">
      <c r="A1" s="3" t="s">
        <v>993</v>
      </c>
      <c r="B1" t="s">
        <v>1004</v>
      </c>
      <c r="C1" t="s">
        <v>1006</v>
      </c>
      <c r="D1" t="s">
        <v>1005</v>
      </c>
      <c r="E1" t="s">
        <v>1004</v>
      </c>
      <c r="F1" s="5" t="s">
        <v>1007</v>
      </c>
      <c r="G1" s="3" t="s">
        <v>993</v>
      </c>
      <c r="H1" t="s">
        <v>1004</v>
      </c>
      <c r="J1" s="3" t="s">
        <v>993</v>
      </c>
      <c r="K1" t="s">
        <v>1006</v>
      </c>
    </row>
    <row r="2" spans="1:11" x14ac:dyDescent="0.3">
      <c r="A2" s="4" t="s">
        <v>832</v>
      </c>
      <c r="B2" s="9">
        <v>95468</v>
      </c>
      <c r="C2" s="10">
        <v>1000</v>
      </c>
      <c r="D2" s="10">
        <v>5.53</v>
      </c>
      <c r="E2" s="9">
        <v>3520984</v>
      </c>
      <c r="F2" s="6">
        <v>3520.98</v>
      </c>
      <c r="G2" s="4" t="s">
        <v>881</v>
      </c>
      <c r="H2" s="9">
        <v>97665</v>
      </c>
      <c r="J2" s="4" t="s">
        <v>22</v>
      </c>
      <c r="K2" s="10">
        <v>18</v>
      </c>
    </row>
    <row r="3" spans="1:11" x14ac:dyDescent="0.3">
      <c r="A3" s="4" t="s">
        <v>611</v>
      </c>
      <c r="B3" s="9">
        <v>704509</v>
      </c>
      <c r="G3" s="4" t="s">
        <v>947</v>
      </c>
      <c r="H3" s="9">
        <v>101556</v>
      </c>
      <c r="J3" s="4" t="s">
        <v>208</v>
      </c>
      <c r="K3" s="10">
        <v>18</v>
      </c>
    </row>
    <row r="4" spans="1:11" x14ac:dyDescent="0.3">
      <c r="A4" s="4" t="s">
        <v>737</v>
      </c>
      <c r="B4" s="9">
        <v>511823</v>
      </c>
      <c r="D4" s="3" t="s">
        <v>993</v>
      </c>
      <c r="E4" t="s">
        <v>1004</v>
      </c>
      <c r="G4" s="4" t="s">
        <v>963</v>
      </c>
      <c r="H4" s="9">
        <v>106624</v>
      </c>
      <c r="J4" s="4" t="s">
        <v>387</v>
      </c>
      <c r="K4" s="10">
        <v>19</v>
      </c>
    </row>
    <row r="5" spans="1:11" x14ac:dyDescent="0.3">
      <c r="A5" s="4" t="s">
        <v>827</v>
      </c>
      <c r="B5" s="9">
        <v>140393</v>
      </c>
      <c r="D5" s="4" t="s">
        <v>875</v>
      </c>
      <c r="E5" s="9">
        <v>201151</v>
      </c>
      <c r="G5" s="4" t="s">
        <v>895</v>
      </c>
      <c r="H5" s="9">
        <v>114476</v>
      </c>
      <c r="J5" s="4" t="s">
        <v>291</v>
      </c>
      <c r="K5" s="10">
        <v>20</v>
      </c>
    </row>
    <row r="6" spans="1:11" x14ac:dyDescent="0.3">
      <c r="A6" s="4" t="s">
        <v>830</v>
      </c>
      <c r="B6" s="9">
        <v>150346</v>
      </c>
      <c r="D6" s="4" t="s">
        <v>853</v>
      </c>
      <c r="E6" s="9">
        <v>212281</v>
      </c>
      <c r="G6" s="4" t="s">
        <v>849</v>
      </c>
      <c r="H6" s="9">
        <v>121905</v>
      </c>
      <c r="J6" s="4" t="s">
        <v>220</v>
      </c>
      <c r="K6" s="10">
        <v>21</v>
      </c>
    </row>
    <row r="7" spans="1:11" x14ac:dyDescent="0.3">
      <c r="A7" s="4" t="s">
        <v>831</v>
      </c>
      <c r="B7" s="9">
        <v>157913</v>
      </c>
      <c r="D7" s="4" t="s">
        <v>784</v>
      </c>
      <c r="E7" s="9">
        <v>297372</v>
      </c>
      <c r="G7" s="4" t="s">
        <v>994</v>
      </c>
      <c r="H7" s="9">
        <v>542226</v>
      </c>
      <c r="J7" s="4" t="s">
        <v>142</v>
      </c>
      <c r="K7" s="10">
        <v>21</v>
      </c>
    </row>
    <row r="8" spans="1:11" x14ac:dyDescent="0.3">
      <c r="A8" s="4" t="s">
        <v>829</v>
      </c>
      <c r="B8" s="9">
        <v>135826</v>
      </c>
      <c r="D8" s="4" t="s">
        <v>864</v>
      </c>
      <c r="E8" s="9">
        <v>329862</v>
      </c>
      <c r="J8" s="4" t="s">
        <v>178</v>
      </c>
      <c r="K8" s="10">
        <v>24</v>
      </c>
    </row>
    <row r="9" spans="1:11" x14ac:dyDescent="0.3">
      <c r="A9" s="4" t="s">
        <v>785</v>
      </c>
      <c r="B9" s="9">
        <v>737389</v>
      </c>
      <c r="D9" s="4" t="s">
        <v>859</v>
      </c>
      <c r="E9" s="9">
        <v>733842</v>
      </c>
      <c r="J9" s="4" t="s">
        <v>148</v>
      </c>
      <c r="K9" s="10">
        <v>27</v>
      </c>
    </row>
    <row r="10" spans="1:11" x14ac:dyDescent="0.3">
      <c r="A10" s="4" t="s">
        <v>833</v>
      </c>
      <c r="B10" s="9">
        <v>136938</v>
      </c>
      <c r="D10" s="4" t="s">
        <v>850</v>
      </c>
      <c r="E10" s="9">
        <v>740831</v>
      </c>
      <c r="J10" s="4" t="s">
        <v>314</v>
      </c>
      <c r="K10" s="10">
        <v>28</v>
      </c>
    </row>
    <row r="11" spans="1:11" x14ac:dyDescent="0.3">
      <c r="A11" s="4" t="s">
        <v>835</v>
      </c>
      <c r="B11" s="9">
        <v>151619</v>
      </c>
      <c r="D11" s="4" t="s">
        <v>856</v>
      </c>
      <c r="E11" s="9">
        <v>1005645</v>
      </c>
      <c r="J11" s="4" t="s">
        <v>297</v>
      </c>
      <c r="K11" s="10">
        <v>29</v>
      </c>
    </row>
    <row r="12" spans="1:11" x14ac:dyDescent="0.3">
      <c r="A12" s="4" t="s">
        <v>812</v>
      </c>
      <c r="B12" s="9">
        <v>449169</v>
      </c>
      <c r="D12" s="4" t="s">
        <v>994</v>
      </c>
      <c r="E12" s="9">
        <v>3520984</v>
      </c>
      <c r="J12" s="4" t="s">
        <v>994</v>
      </c>
      <c r="K12" s="10">
        <v>225</v>
      </c>
    </row>
    <row r="13" spans="1:11" x14ac:dyDescent="0.3">
      <c r="A13" s="4" t="s">
        <v>826</v>
      </c>
      <c r="B13" s="9">
        <v>149591</v>
      </c>
    </row>
    <row r="14" spans="1:11" x14ac:dyDescent="0.3">
      <c r="A14" s="4" t="s">
        <v>994</v>
      </c>
      <c r="B14" s="9">
        <v>3520984</v>
      </c>
    </row>
    <row r="15" spans="1:11" x14ac:dyDescent="0.3">
      <c r="D15" s="3" t="s">
        <v>993</v>
      </c>
      <c r="E15" t="s">
        <v>1004</v>
      </c>
    </row>
    <row r="16" spans="1:11" x14ac:dyDescent="0.3">
      <c r="D16" s="4" t="s">
        <v>819</v>
      </c>
      <c r="E16" s="6">
        <v>313783</v>
      </c>
    </row>
    <row r="17" spans="1:7" x14ac:dyDescent="0.3">
      <c r="D17" s="4" t="s">
        <v>610</v>
      </c>
      <c r="E17" s="6">
        <v>331930</v>
      </c>
    </row>
    <row r="18" spans="1:7" x14ac:dyDescent="0.3">
      <c r="D18" s="4" t="s">
        <v>697</v>
      </c>
      <c r="E18" s="6">
        <v>408194</v>
      </c>
    </row>
    <row r="19" spans="1:7" x14ac:dyDescent="0.3">
      <c r="D19" s="4" t="s">
        <v>691</v>
      </c>
      <c r="E19" s="6">
        <v>574682</v>
      </c>
      <c r="G19">
        <f>CORREL(Orders[Quantity],Orders[diff_order_delivery])</f>
        <v>3.4781737193018245E-3</v>
      </c>
    </row>
    <row r="20" spans="1:7" x14ac:dyDescent="0.3">
      <c r="D20" s="4" t="s">
        <v>689</v>
      </c>
      <c r="E20" s="6">
        <v>586176</v>
      </c>
    </row>
    <row r="21" spans="1:7" x14ac:dyDescent="0.3">
      <c r="D21" s="4" t="s">
        <v>784</v>
      </c>
      <c r="E21" s="6">
        <v>631585</v>
      </c>
    </row>
    <row r="22" spans="1:7" x14ac:dyDescent="0.3">
      <c r="D22" s="4" t="s">
        <v>688</v>
      </c>
      <c r="E22" s="6">
        <v>674634</v>
      </c>
    </row>
    <row r="23" spans="1:7" x14ac:dyDescent="0.3">
      <c r="D23" s="4" t="s">
        <v>994</v>
      </c>
      <c r="E23" s="6">
        <v>3520984</v>
      </c>
    </row>
    <row r="25" spans="1:7" x14ac:dyDescent="0.3">
      <c r="A25" s="3" t="s">
        <v>993</v>
      </c>
      <c r="B25" t="s">
        <v>1004</v>
      </c>
    </row>
    <row r="26" spans="1:7" x14ac:dyDescent="0.3">
      <c r="A26" s="4">
        <v>0</v>
      </c>
      <c r="B26" s="9">
        <v>99400</v>
      </c>
    </row>
    <row r="27" spans="1:7" x14ac:dyDescent="0.3">
      <c r="A27" s="4">
        <v>1</v>
      </c>
      <c r="B27" s="9">
        <v>129309</v>
      </c>
    </row>
    <row r="28" spans="1:7" x14ac:dyDescent="0.3">
      <c r="A28" s="4">
        <v>2</v>
      </c>
      <c r="B28" s="9">
        <v>152940</v>
      </c>
    </row>
    <row r="29" spans="1:7" x14ac:dyDescent="0.3">
      <c r="A29" s="4">
        <v>3</v>
      </c>
      <c r="B29" s="9">
        <v>146810</v>
      </c>
    </row>
    <row r="30" spans="1:7" x14ac:dyDescent="0.3">
      <c r="A30" s="4">
        <v>4</v>
      </c>
      <c r="B30" s="9">
        <v>114700</v>
      </c>
    </row>
    <row r="31" spans="1:7" x14ac:dyDescent="0.3">
      <c r="A31" s="4">
        <v>5</v>
      </c>
      <c r="B31" s="9">
        <v>156198</v>
      </c>
    </row>
    <row r="32" spans="1:7" x14ac:dyDescent="0.3">
      <c r="A32" s="4">
        <v>6</v>
      </c>
      <c r="B32" s="9">
        <v>177211</v>
      </c>
      <c r="D32" t="s">
        <v>1006</v>
      </c>
    </row>
    <row r="33" spans="1:4" x14ac:dyDescent="0.3">
      <c r="A33" s="4">
        <v>7</v>
      </c>
      <c r="B33" s="9">
        <v>147749</v>
      </c>
      <c r="D33" s="10">
        <v>1000</v>
      </c>
    </row>
    <row r="34" spans="1:4" x14ac:dyDescent="0.3">
      <c r="A34" s="4">
        <v>8</v>
      </c>
      <c r="B34" s="9">
        <v>133617</v>
      </c>
    </row>
    <row r="35" spans="1:4" x14ac:dyDescent="0.3">
      <c r="A35" s="4">
        <v>9</v>
      </c>
      <c r="B35" s="9">
        <v>153678</v>
      </c>
    </row>
    <row r="36" spans="1:4" x14ac:dyDescent="0.3">
      <c r="A36" s="4">
        <v>10</v>
      </c>
      <c r="B36" s="9">
        <v>94985</v>
      </c>
    </row>
    <row r="37" spans="1:4" x14ac:dyDescent="0.3">
      <c r="A37" s="4">
        <v>11</v>
      </c>
      <c r="B37" s="9">
        <v>130287</v>
      </c>
    </row>
    <row r="38" spans="1:4" x14ac:dyDescent="0.3">
      <c r="A38" s="4">
        <v>12</v>
      </c>
      <c r="B38" s="9">
        <v>162394</v>
      </c>
    </row>
    <row r="39" spans="1:4" x14ac:dyDescent="0.3">
      <c r="A39" s="4">
        <v>13</v>
      </c>
      <c r="B39" s="9">
        <v>152340</v>
      </c>
    </row>
    <row r="40" spans="1:4" x14ac:dyDescent="0.3">
      <c r="A40" s="4">
        <v>14</v>
      </c>
      <c r="B40" s="9">
        <v>126406</v>
      </c>
    </row>
    <row r="41" spans="1:4" x14ac:dyDescent="0.3">
      <c r="A41" s="4">
        <v>15</v>
      </c>
      <c r="B41" s="9">
        <v>163586</v>
      </c>
    </row>
    <row r="42" spans="1:4" x14ac:dyDescent="0.3">
      <c r="A42" s="4">
        <v>16</v>
      </c>
      <c r="B42" s="9">
        <v>128797</v>
      </c>
    </row>
    <row r="43" spans="1:4" x14ac:dyDescent="0.3">
      <c r="A43" s="4">
        <v>17</v>
      </c>
      <c r="B43" s="9">
        <v>155373</v>
      </c>
    </row>
    <row r="44" spans="1:4" x14ac:dyDescent="0.3">
      <c r="A44" s="4">
        <v>18</v>
      </c>
      <c r="B44" s="9">
        <v>173118</v>
      </c>
    </row>
    <row r="45" spans="1:4" x14ac:dyDescent="0.3">
      <c r="A45" s="4">
        <v>19</v>
      </c>
      <c r="B45" s="9">
        <v>185771</v>
      </c>
    </row>
    <row r="46" spans="1:4" x14ac:dyDescent="0.3">
      <c r="A46" s="4">
        <v>20</v>
      </c>
      <c r="B46" s="9">
        <v>186426</v>
      </c>
    </row>
    <row r="47" spans="1:4" x14ac:dyDescent="0.3">
      <c r="A47" s="4">
        <v>21</v>
      </c>
      <c r="B47" s="9">
        <v>155466</v>
      </c>
    </row>
    <row r="48" spans="1:4" x14ac:dyDescent="0.3">
      <c r="A48" s="4">
        <v>22</v>
      </c>
      <c r="B48" s="9">
        <v>125912</v>
      </c>
    </row>
    <row r="49" spans="1:2" x14ac:dyDescent="0.3">
      <c r="A49" s="4">
        <v>23</v>
      </c>
      <c r="B49" s="9">
        <v>168511</v>
      </c>
    </row>
    <row r="50" spans="1:2" x14ac:dyDescent="0.3">
      <c r="A50" s="4" t="s">
        <v>994</v>
      </c>
      <c r="B50" s="9">
        <v>3520984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0D51EB8-C15C-4E7F-8FAC-81BA0C848095}">
  <ds:schemaRefs/>
</ds:datastoreItem>
</file>

<file path=customXml/itemProps2.xml><?xml version="1.0" encoding="utf-8"?>
<ds:datastoreItem xmlns:ds="http://schemas.openxmlformats.org/officeDocument/2006/customXml" ds:itemID="{85CE7EB3-A791-4793-B4AE-270FFC740B42}">
  <ds:schemaRefs/>
</ds:datastoreItem>
</file>

<file path=customXml/itemProps3.xml><?xml version="1.0" encoding="utf-8"?>
<ds:datastoreItem xmlns:ds="http://schemas.openxmlformats.org/officeDocument/2006/customXml" ds:itemID="{38BBB4FD-50A9-4471-85FB-83D56831CC80}">
  <ds:schemaRefs/>
</ds:datastoreItem>
</file>

<file path=customXml/itemProps4.xml><?xml version="1.0" encoding="utf-8"?>
<ds:datastoreItem xmlns:ds="http://schemas.openxmlformats.org/officeDocument/2006/customXml" ds:itemID="{EA320E04-F70B-493D-A4DD-8B046EFF6A87}">
  <ds:schemaRefs/>
</ds:datastoreItem>
</file>

<file path=customXml/itemProps5.xml><?xml version="1.0" encoding="utf-8"?>
<ds:datastoreItem xmlns:ds="http://schemas.openxmlformats.org/officeDocument/2006/customXml" ds:itemID="{FA94DDF2-DA5B-4F24-ABC8-19D7CD3F951E}">
  <ds:schemaRefs/>
</ds:datastoreItem>
</file>

<file path=customXml/itemProps6.xml><?xml version="1.0" encoding="utf-8"?>
<ds:datastoreItem xmlns:ds="http://schemas.openxmlformats.org/officeDocument/2006/customXml" ds:itemID="{6CABA976-F4D5-4C8B-8149-29507CDEB7DE}">
  <ds:schemaRefs/>
</ds:datastoreItem>
</file>

<file path=customXml/itemProps7.xml><?xml version="1.0" encoding="utf-8"?>
<ds:datastoreItem xmlns:ds="http://schemas.openxmlformats.org/officeDocument/2006/customXml" ds:itemID="{C7206A57-3BCF-4EF0-83BF-82796F9217F7}">
  <ds:schemaRefs/>
</ds:datastoreItem>
</file>

<file path=customXml/itemProps8.xml><?xml version="1.0" encoding="utf-8"?>
<ds:datastoreItem xmlns:ds="http://schemas.openxmlformats.org/officeDocument/2006/customXml" ds:itemID="{C051988E-A872-4049-9F8B-7DAE901A74F6}">
  <ds:schemaRefs/>
</ds:datastoreItem>
</file>

<file path=customXml/itemProps9.xml><?xml version="1.0" encoding="utf-8"?>
<ds:datastoreItem xmlns:ds="http://schemas.openxmlformats.org/officeDocument/2006/customXml" ds:itemID="{758240F8-8D02-45B8-9ADB-1CD600B6D428}">
  <ds:schemaRefs/>
</ds:datastoreItem>
</file>

<file path=customXml/itemProps10.xml><?xml version="1.0" encoding="utf-8"?>
<ds:datastoreItem xmlns:ds="http://schemas.openxmlformats.org/officeDocument/2006/customXml" ds:itemID="{AFE5DF34-A091-4EDB-B885-11B9D2870101}">
  <ds:schemaRefs/>
</ds:datastoreItem>
</file>

<file path=customXml/itemProps11.xml><?xml version="1.0" encoding="utf-8"?>
<ds:datastoreItem xmlns:ds="http://schemas.openxmlformats.org/officeDocument/2006/customXml" ds:itemID="{FCF79DD5-915D-4550-8959-C535D0C9592A}">
  <ds:schemaRefs/>
</ds:datastoreItem>
</file>

<file path=customXml/itemProps12.xml><?xml version="1.0" encoding="utf-8"?>
<ds:datastoreItem xmlns:ds="http://schemas.openxmlformats.org/officeDocument/2006/customXml" ds:itemID="{F6B797B4-F379-4E4E-97FF-70711DFF4478}">
  <ds:schemaRefs/>
</ds:datastoreItem>
</file>

<file path=customXml/itemProps13.xml><?xml version="1.0" encoding="utf-8"?>
<ds:datastoreItem xmlns:ds="http://schemas.openxmlformats.org/officeDocument/2006/customXml" ds:itemID="{021CC8EF-43BE-4E1F-AA56-823B7C4479B8}">
  <ds:schemaRefs/>
</ds:datastoreItem>
</file>

<file path=customXml/itemProps14.xml><?xml version="1.0" encoding="utf-8"?>
<ds:datastoreItem xmlns:ds="http://schemas.openxmlformats.org/officeDocument/2006/customXml" ds:itemID="{B63A87B9-2B25-4D58-A39D-35B5554220E7}">
  <ds:schemaRefs/>
</ds:datastoreItem>
</file>

<file path=customXml/itemProps15.xml><?xml version="1.0" encoding="utf-8"?>
<ds:datastoreItem xmlns:ds="http://schemas.openxmlformats.org/officeDocument/2006/customXml" ds:itemID="{D60F79F3-3AB8-48C8-BDD2-8B458684086D}">
  <ds:schemaRefs/>
</ds:datastoreItem>
</file>

<file path=customXml/itemProps16.xml><?xml version="1.0" encoding="utf-8"?>
<ds:datastoreItem xmlns:ds="http://schemas.openxmlformats.org/officeDocument/2006/customXml" ds:itemID="{E97B6152-9DD7-4894-9B18-6B2E147AC0DC}">
  <ds:schemaRefs/>
</ds:datastoreItem>
</file>

<file path=customXml/itemProps17.xml><?xml version="1.0" encoding="utf-8"?>
<ds:datastoreItem xmlns:ds="http://schemas.openxmlformats.org/officeDocument/2006/customXml" ds:itemID="{FA074EB3-FD0B-4DAD-9820-A1B5DD10AE9A}">
  <ds:schemaRefs/>
</ds:datastoreItem>
</file>

<file path=customXml/itemProps18.xml><?xml version="1.0" encoding="utf-8"?>
<ds:datastoreItem xmlns:ds="http://schemas.openxmlformats.org/officeDocument/2006/customXml" ds:itemID="{6916BFCF-1D55-4814-8F9E-F1C0A383388C}">
  <ds:schemaRefs/>
</ds:datastoreItem>
</file>

<file path=customXml/itemProps19.xml><?xml version="1.0" encoding="utf-8"?>
<ds:datastoreItem xmlns:ds="http://schemas.openxmlformats.org/officeDocument/2006/customXml" ds:itemID="{8FF27C9D-F6AD-42CE-9398-8F9A49B500E2}">
  <ds:schemaRefs/>
</ds:datastoreItem>
</file>

<file path=customXml/itemProps20.xml><?xml version="1.0" encoding="utf-8"?>
<ds:datastoreItem xmlns:ds="http://schemas.openxmlformats.org/officeDocument/2006/customXml" ds:itemID="{6541EC77-242D-44C2-BC08-346723AE2577}">
  <ds:schemaRefs/>
</ds:datastoreItem>
</file>

<file path=customXml/itemProps21.xml><?xml version="1.0" encoding="utf-8"?>
<ds:datastoreItem xmlns:ds="http://schemas.openxmlformats.org/officeDocument/2006/customXml" ds:itemID="{B93041DE-3BD9-41FE-9D22-0FD2AB056E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Dashboard</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CHAUDHARY</dc:creator>
  <cp:lastModifiedBy>ADITI CHAUDHARY</cp:lastModifiedBy>
  <dcterms:created xsi:type="dcterms:W3CDTF">2026-10-18T08:36:43Z</dcterms:created>
  <dcterms:modified xsi:type="dcterms:W3CDTF">2026-10-20T10:45:21Z</dcterms:modified>
</cp:coreProperties>
</file>